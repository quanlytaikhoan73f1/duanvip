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📈 MASTER DASHBOARD" sheetId="1" r:id="rId4"/>
    <sheet state="hidden" name="⚙️ Calculation" sheetId="2" r:id="rId5"/>
    <sheet state="visible" name="Tháng 1" sheetId="3" r:id="rId6"/>
    <sheet state="visible" name="Tháng 2" sheetId="4" r:id="rId7"/>
    <sheet state="visible" name="Tháng 3" sheetId="5" r:id="rId8"/>
    <sheet state="visible" name="Tháng 4" sheetId="6" r:id="rId9"/>
    <sheet state="visible" name="Tháng 5" sheetId="7" r:id="rId10"/>
    <sheet state="visible" name="Tháng 6" sheetId="8" r:id="rId11"/>
    <sheet state="visible" name="Tháng 7" sheetId="9" r:id="rId12"/>
    <sheet state="visible" name="Tháng 8" sheetId="10" r:id="rId13"/>
    <sheet state="visible" name="Tháng 9" sheetId="11" r:id="rId14"/>
    <sheet state="visible" name="Tháng 10" sheetId="12" r:id="rId15"/>
    <sheet state="visible" name="Tháng 11" sheetId="13" r:id="rId16"/>
    <sheet state="visible" name="Tháng 12" sheetId="14" r:id="rId17"/>
  </sheets>
  <definedNames/>
  <calcPr/>
  <extLst>
    <ext uri="GoogleSheetsCustomDataVersion2">
      <go:sheetsCustomData xmlns:go="http://customooxmlschemas.google.com/" r:id="rId18" roundtripDataChecksum="DAGdRlGbQPwqL/aOWZETwryDttF0CGlZN8pK1j2VeyE="/>
    </ext>
  </extLst>
</workbook>
</file>

<file path=xl/sharedStrings.xml><?xml version="1.0" encoding="utf-8"?>
<sst xmlns="http://schemas.openxmlformats.org/spreadsheetml/2006/main" count="149" uniqueCount="59">
  <si>
    <t>BÁO CÁO TOÀN DIỆN CHẤM CÔNG CÁ NHÂN (12 THÁNG)</t>
  </si>
  <si>
    <t>TỔNG TIỀN CÔNG (TWD)</t>
  </si>
  <si>
    <t>TỔNG ĐÃ ỨNG (TWD)</t>
  </si>
  <si>
    <t>CÒN LẠI / THỰC LÃNH (TWD)</t>
  </si>
  <si>
    <t>Tổng tiền làm ra</t>
  </si>
  <si>
    <t>Dòng tiền</t>
  </si>
  <si>
    <t>Giá trị</t>
  </si>
  <si>
    <t>Tháng</t>
  </si>
  <si>
    <t>Thực Lãnh</t>
  </si>
  <si>
    <t>Đã Ứng</t>
  </si>
  <si>
    <t>Số Công O</t>
  </si>
  <si>
    <t>Số Công N</t>
  </si>
  <si>
    <t>Số Tiền Công Tổng</t>
  </si>
  <si>
    <t>Số Công X</t>
  </si>
  <si>
    <t>Tổng tiền đã ứng</t>
  </si>
  <si>
    <t>Thực lãnh</t>
  </si>
  <si>
    <t>T1</t>
  </si>
  <si>
    <t>Tổng thực lãnh</t>
  </si>
  <si>
    <t>Đã ứng</t>
  </si>
  <si>
    <t>T2</t>
  </si>
  <si>
    <t>T3</t>
  </si>
  <si>
    <t>T4</t>
  </si>
  <si>
    <t>Loại công</t>
  </si>
  <si>
    <t>Số lượng</t>
  </si>
  <si>
    <t>T5</t>
  </si>
  <si>
    <t>Cả ngày (O)</t>
  </si>
  <si>
    <t>T6</t>
  </si>
  <si>
    <t>Nửa ngày (N)</t>
  </si>
  <si>
    <t>T7</t>
  </si>
  <si>
    <t>Nghỉ (X)</t>
  </si>
  <si>
    <t>T8</t>
  </si>
  <si>
    <t>T9</t>
  </si>
  <si>
    <t>T10</t>
  </si>
  <si>
    <t>T11</t>
  </si>
  <si>
    <t>T12</t>
  </si>
  <si>
    <t>Ngày</t>
  </si>
  <si>
    <t>Chủ (Chỗ làm)</t>
  </si>
  <si>
    <t>Công (O=1, N=0.5, X=0)</t>
  </si>
  <si>
    <t>Đơn giá (TWD)</t>
  </si>
  <si>
    <t>Tiền công (TWD)</t>
  </si>
  <si>
    <t>Đã ứng (TWD)</t>
  </si>
  <si>
    <t>THỰC LÃNH (TWD)</t>
  </si>
  <si>
    <t>TỔNG THÁNG 1</t>
  </si>
  <si>
    <t>TỔNG THÁNG 2</t>
  </si>
  <si>
    <t>TỔNG THÁNG 3</t>
  </si>
  <si>
    <t>DŨNG LUKANG</t>
  </si>
  <si>
    <t>O</t>
  </si>
  <si>
    <t>X</t>
  </si>
  <si>
    <t>DŨNG HEMEI</t>
  </si>
  <si>
    <t>N</t>
  </si>
  <si>
    <t>TỔNG THÁNG 4</t>
  </si>
  <si>
    <t>TỔNG THÁNG 5</t>
  </si>
  <si>
    <t>TỔNG THÁNG 6</t>
  </si>
  <si>
    <t>TỔNG THÁNG 7</t>
  </si>
  <si>
    <t>TỔNG THÁNG 8</t>
  </si>
  <si>
    <t>TỔNG THÁNG 9</t>
  </si>
  <si>
    <t>TỔNG THÁNG 10</t>
  </si>
  <si>
    <t>TỔNG THÁNG 11</t>
  </si>
  <si>
    <t>TỔNG THÁNG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</si>
</sst>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7">
    <font>
      <sz val="11.0"/>
      <color theme="1"/>
      <name val="Calibri"/>
      <scheme val="minor"/>
    </font>
    <font>
      <b/>
      <sz val="18.0"/>
      <color rgb="FFFFFFFF"/>
      <name val="Calibri"/>
    </font>
    <font/>
    <font>
      <b/>
      <sz val="11.0"/>
      <color rgb="FF1A62A5"/>
      <name val="Calibri"/>
    </font>
    <font>
      <b/>
      <sz val="26.0"/>
      <color rgb="FF2E75B6"/>
      <name val="Calibri"/>
    </font>
    <font>
      <b/>
      <sz val="26.0"/>
      <color rgb="FFED7D31"/>
      <name val="Calibri"/>
    </font>
    <font>
      <b/>
      <sz val="26.0"/>
      <color rgb="FF70AD47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sz val="11.0"/>
      <color rgb="FF0000FF"/>
      <name val="Calibri"/>
    </font>
    <font>
      <sz val="11.0"/>
      <color rgb="FF000000"/>
      <name val="Calibri"/>
    </font>
    <font>
      <b/>
      <sz val="12.0"/>
      <color rgb="FFFFFFFF"/>
      <name val="Calibri"/>
    </font>
    <font>
      <sz val="12.0"/>
      <color theme="1"/>
      <name val="Calibri"/>
      <scheme val="minor"/>
    </font>
    <font>
      <sz val="12.0"/>
      <color theme="1"/>
      <name val="Calibri"/>
    </font>
    <font>
      <sz val="12.0"/>
      <color rgb="FF0000FF"/>
      <name val="Calibri"/>
    </font>
    <font>
      <sz val="12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A62A5"/>
        <bgColor rgb="FF1A62A5"/>
      </patternFill>
    </fill>
    <fill>
      <patternFill patternType="solid">
        <fgColor rgb="FFF2F2F2"/>
        <bgColor rgb="FFF2F2F2"/>
      </patternFill>
    </fill>
    <fill>
      <patternFill patternType="solid">
        <fgColor rgb="FF2E75B6"/>
        <bgColor rgb="FF2E75B6"/>
      </patternFill>
    </fill>
    <fill>
      <patternFill patternType="solid">
        <fgColor rgb="FF00FF00"/>
        <bgColor rgb="FF00FF0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2E75B6"/>
      </left>
      <top style="thin">
        <color rgb="FF2E75B6"/>
      </top>
      <bottom style="thin">
        <color rgb="FF2E75B6"/>
      </bottom>
    </border>
    <border>
      <top style="thin">
        <color rgb="FF2E75B6"/>
      </top>
      <bottom style="thin">
        <color rgb="FF2E75B6"/>
      </bottom>
    </border>
    <border>
      <right style="thin">
        <color rgb="FF2E75B6"/>
      </right>
      <top style="thin">
        <color rgb="FF2E75B6"/>
      </top>
      <bottom style="thin">
        <color rgb="FF2E75B6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0" fillId="0" fontId="4" numFmtId="3" xfId="0" applyAlignment="1" applyFont="1" applyNumberFormat="1">
      <alignment horizontal="center" vertical="center"/>
    </xf>
    <xf borderId="0" fillId="0" fontId="5" numFmtId="3" xfId="0" applyAlignment="1" applyFont="1" applyNumberFormat="1">
      <alignment horizontal="center" vertical="center"/>
    </xf>
    <xf borderId="0" fillId="0" fontId="6" numFmtId="3" xfId="0" applyAlignment="1" applyFont="1" applyNumberFormat="1">
      <alignment horizontal="center" vertical="center"/>
    </xf>
    <xf borderId="7" fillId="2" fontId="7" numFmtId="0" xfId="0" applyBorder="1" applyFont="1"/>
    <xf borderId="0" fillId="0" fontId="8" numFmtId="0" xfId="0" applyFont="1"/>
    <xf borderId="0" fillId="0" fontId="8" numFmtId="3" xfId="0" applyFont="1" applyNumberFormat="1"/>
    <xf borderId="8" fillId="4" fontId="9" numFmtId="0" xfId="0" applyAlignment="1" applyBorder="1" applyFill="1" applyFont="1">
      <alignment horizontal="center" vertical="center"/>
    </xf>
    <xf borderId="8" fillId="0" fontId="7" numFmtId="164" xfId="0" applyAlignment="1" applyBorder="1" applyFont="1" applyNumberFormat="1">
      <alignment vertical="center"/>
    </xf>
    <xf borderId="8" fillId="0" fontId="10" numFmtId="0" xfId="0" applyAlignment="1" applyBorder="1" applyFont="1">
      <alignment vertical="center"/>
    </xf>
    <xf borderId="8" fillId="0" fontId="10" numFmtId="0" xfId="0" applyAlignment="1" applyBorder="1" applyFont="1">
      <alignment horizontal="center" vertical="center"/>
    </xf>
    <xf borderId="8" fillId="0" fontId="10" numFmtId="3" xfId="0" applyAlignment="1" applyBorder="1" applyFont="1" applyNumberFormat="1">
      <alignment vertical="center"/>
    </xf>
    <xf borderId="8" fillId="0" fontId="11" numFmtId="3" xfId="0" applyAlignment="1" applyBorder="1" applyFont="1" applyNumberFormat="1">
      <alignment vertical="center"/>
    </xf>
    <xf borderId="8" fillId="4" fontId="12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8" fillId="0" fontId="14" numFmtId="164" xfId="0" applyAlignment="1" applyBorder="1" applyFont="1" applyNumberFormat="1">
      <alignment horizontal="center" readingOrder="0" vertical="center"/>
    </xf>
    <xf borderId="8" fillId="0" fontId="15" numFmtId="0" xfId="0" applyAlignment="1" applyBorder="1" applyFont="1">
      <alignment horizontal="center" vertical="center"/>
    </xf>
    <xf borderId="8" fillId="0" fontId="15" numFmtId="3" xfId="0" applyAlignment="1" applyBorder="1" applyFont="1" applyNumberFormat="1">
      <alignment horizontal="center" vertical="center"/>
    </xf>
    <xf borderId="8" fillId="0" fontId="16" numFmtId="3" xfId="0" applyAlignment="1" applyBorder="1" applyFont="1" applyNumberFormat="1">
      <alignment horizontal="center" vertical="center"/>
    </xf>
    <xf borderId="8" fillId="0" fontId="15" numFmtId="0" xfId="0" applyAlignment="1" applyBorder="1" applyFont="1">
      <alignment horizontal="center" readingOrder="0" vertical="center"/>
    </xf>
    <xf borderId="8" fillId="0" fontId="15" numFmtId="3" xfId="0" applyAlignment="1" applyBorder="1" applyFont="1" applyNumberFormat="1">
      <alignment horizontal="center" readingOrder="0" vertical="center"/>
    </xf>
    <xf borderId="8" fillId="5" fontId="15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1A62A5"/>
                </a:solidFill>
                <a:latin typeface="+mn-lt"/>
              </a:defRPr>
            </a:pPr>
            <a:r>
              <a:rPr b="1" i="0" sz="1000">
                <a:solidFill>
                  <a:srgbClr val="1A62A5"/>
                </a:solidFill>
                <a:latin typeface="+mn-lt"/>
              </a:rPr>
              <a:t>TỶ LỆ DÒNG TIỀN (TOÀN CỤC)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70AD47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'⚙️ Calculation'!$D$2:$D$3</c:f>
            </c:strRef>
          </c:cat>
          <c:val>
            <c:numRef>
              <c:f>'⚙️ Calculation'!$E$2:$E$3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1A62A5"/>
                </a:solidFill>
                <a:latin typeface="+mn-lt"/>
              </a:defRPr>
            </a:pPr>
            <a:r>
              <a:rPr b="1" i="0" sz="1000">
                <a:solidFill>
                  <a:srgbClr val="1A62A5"/>
                </a:solidFill>
                <a:latin typeface="+mn-lt"/>
              </a:rPr>
              <a:t>TỔNG TỶ LỆ LOẠI NGÀY CÔNG (O/N/X)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E75B6"/>
              </a:solidFill>
            </c:spPr>
          </c:dPt>
          <c:dPt>
            <c:idx val="1"/>
            <c:spPr>
              <a:solidFill>
                <a:srgbClr val="FFC000"/>
              </a:solidFill>
            </c:spPr>
          </c:dPt>
          <c:dPt>
            <c:idx val="2"/>
            <c:spPr>
              <a:solidFill>
                <a:srgbClr val="C0000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'⚙️ Calculation'!$D$7:$D$9</c:f>
            </c:strRef>
          </c:cat>
          <c:val>
            <c:numRef>
              <c:f>'⚙️ Calculation'!$E$7:$E$9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1A62A5"/>
                </a:solidFill>
                <a:latin typeface="+mn-lt"/>
              </a:defRPr>
            </a:pPr>
            <a:r>
              <a:rPr b="1" i="0" sz="1100">
                <a:solidFill>
                  <a:srgbClr val="1A62A5"/>
                </a:solidFill>
                <a:latin typeface="+mn-lt"/>
              </a:rPr>
              <a:t>THỰC LÃNH VÀ ĐÃ ỨNG THEO THÁNG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Thực Lãnh</c:v>
          </c:tx>
          <c:spPr>
            <a:solidFill>
              <a:srgbClr val="2E75B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'⚙️ Calculation'!$H$2:$H$13</c:f>
            </c:strRef>
          </c:cat>
          <c:val>
            <c:numRef>
              <c:f>'⚙️ Calculation'!$I$2:$I$13</c:f>
              <c:numCache/>
            </c:numRef>
          </c:val>
        </c:ser>
        <c:ser>
          <c:idx val="1"/>
          <c:order val="1"/>
          <c:tx>
            <c:v>Đã Ứng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'⚙️ Calculation'!$H$2:$H$13</c:f>
            </c:strRef>
          </c:cat>
          <c:val>
            <c:numRef>
              <c:f>'⚙️ Calculation'!$J$2:$J$13</c:f>
              <c:numCache/>
            </c:numRef>
          </c:val>
        </c:ser>
        <c:axId val="2023221834"/>
        <c:axId val="58021588"/>
      </c:barChart>
      <c:catAx>
        <c:axId val="20232218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021588"/>
      </c:catAx>
      <c:valAx>
        <c:axId val="580215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3221834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1A62A5"/>
                </a:solidFill>
                <a:latin typeface="+mn-lt"/>
              </a:defRPr>
            </a:pPr>
            <a:r>
              <a:rPr b="1" i="0" sz="1100">
                <a:solidFill>
                  <a:srgbClr val="1A62A5"/>
                </a:solidFill>
                <a:latin typeface="+mn-lt"/>
              </a:rPr>
              <a:t>DÒNG TIỀN THỰC THU THEO KỲ HẠN THÁNG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Thực Lãnh</c:v>
          </c:tx>
          <c:spPr>
            <a:solidFill>
              <a:srgbClr val="1A62A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'⚙️ Calculation'!$H$2:$H$13</c:f>
            </c:strRef>
          </c:cat>
          <c:val>
            <c:numRef>
              <c:f>'⚙️ Calculation'!$I$2:$I$13</c:f>
              <c:numCache/>
            </c:numRef>
          </c:val>
        </c:ser>
        <c:axId val="513620960"/>
        <c:axId val="991381705"/>
      </c:barChart>
      <c:catAx>
        <c:axId val="51362096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1381705"/>
      </c:catAx>
      <c:valAx>
        <c:axId val="99138170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3620960"/>
        <c:crosses val="max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1A62A5"/>
                </a:solidFill>
                <a:latin typeface="+mn-lt"/>
              </a:defRPr>
            </a:pPr>
            <a:r>
              <a:rPr b="1" i="0" sz="1000">
                <a:solidFill>
                  <a:srgbClr val="1A62A5"/>
                </a:solidFill>
                <a:latin typeface="+mn-lt"/>
              </a:rPr>
              <a:t>TẦN SUẤT NGÀY CÔNG (O/N) CÁC THÁNG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Cả Ngày (O)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'⚙️ Calculation'!$H$2:$H$13</c:f>
            </c:strRef>
          </c:cat>
          <c:val>
            <c:numRef>
              <c:f>'⚙️ Calculation'!$K$2:$K$13</c:f>
              <c:numCache/>
            </c:numRef>
          </c:val>
        </c:ser>
        <c:ser>
          <c:idx val="1"/>
          <c:order val="1"/>
          <c:tx>
            <c:v>Nửa Ngày (N)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'⚙️ Calculation'!$H$2:$H$13</c:f>
            </c:strRef>
          </c:cat>
          <c:val>
            <c:numRef>
              <c:f>'⚙️ Calculation'!$L$2:$L$13</c:f>
              <c:numCache/>
            </c:numRef>
          </c:val>
        </c:ser>
        <c:overlap val="100"/>
        <c:axId val="485518463"/>
        <c:axId val="1641724396"/>
      </c:barChart>
      <c:catAx>
        <c:axId val="4855184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1724396"/>
      </c:catAx>
      <c:valAx>
        <c:axId val="16417243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551846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6</xdr:row>
      <xdr:rowOff>0</xdr:rowOff>
    </xdr:from>
    <xdr:ext cx="2857500" cy="2200275"/>
    <xdr:graphicFrame>
      <xdr:nvGraphicFramePr>
        <xdr:cNvPr id="31697809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6</xdr:row>
      <xdr:rowOff>0</xdr:rowOff>
    </xdr:from>
    <xdr:ext cx="2857500" cy="2200275"/>
    <xdr:graphicFrame>
      <xdr:nvGraphicFramePr>
        <xdr:cNvPr id="55791867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6</xdr:row>
      <xdr:rowOff>0</xdr:rowOff>
    </xdr:from>
    <xdr:ext cx="4191000" cy="2200275"/>
    <xdr:graphicFrame>
      <xdr:nvGraphicFramePr>
        <xdr:cNvPr id="1010731878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0</xdr:colOff>
      <xdr:row>18</xdr:row>
      <xdr:rowOff>0</xdr:rowOff>
    </xdr:from>
    <xdr:ext cx="6667500" cy="2600325"/>
    <xdr:graphicFrame>
      <xdr:nvGraphicFramePr>
        <xdr:cNvPr id="165154113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0</xdr:colOff>
      <xdr:row>18</xdr:row>
      <xdr:rowOff>0</xdr:rowOff>
    </xdr:from>
    <xdr:ext cx="3238500" cy="2600325"/>
    <xdr:graphicFrame>
      <xdr:nvGraphicFramePr>
        <xdr:cNvPr id="332831383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11" width="14.71"/>
    <col customWidth="1" min="12" max="26" width="8.71"/>
  </cols>
  <sheetData>
    <row r="2" ht="39.7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3"/>
    </row>
    <row r="3">
      <c r="B3" s="4" t="s">
        <v>1</v>
      </c>
      <c r="C3" s="5"/>
      <c r="D3" s="6"/>
      <c r="E3" s="4" t="s">
        <v>2</v>
      </c>
      <c r="F3" s="5"/>
      <c r="G3" s="5"/>
      <c r="H3" s="6"/>
      <c r="I3" s="4" t="s">
        <v>3</v>
      </c>
      <c r="J3" s="5"/>
      <c r="K3" s="6"/>
    </row>
    <row r="4" ht="49.5" customHeight="1">
      <c r="B4" s="7">
        <f>'⚙️ Calculation'!B1</f>
        <v>18200</v>
      </c>
      <c r="E4" s="8">
        <f>'⚙️ Calculation'!B2</f>
        <v>0</v>
      </c>
      <c r="I4" s="9">
        <f>'⚙️ Calculation'!B3</f>
        <v>18200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7.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:K2"/>
    <mergeCell ref="B3:D3"/>
    <mergeCell ref="E3:H3"/>
    <mergeCell ref="I3:K3"/>
    <mergeCell ref="B4:D5"/>
    <mergeCell ref="E4:H5"/>
    <mergeCell ref="I4:K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1" t="s">
        <v>4</v>
      </c>
      <c r="B1" s="12">
        <f>SUM(M2:M13)</f>
        <v>18200</v>
      </c>
      <c r="D1" s="11" t="s">
        <v>5</v>
      </c>
      <c r="E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>
      <c r="A2" s="11" t="s">
        <v>14</v>
      </c>
      <c r="B2" s="12">
        <f>SUM(J2:J13)</f>
        <v>0</v>
      </c>
      <c r="D2" s="11" t="s">
        <v>15</v>
      </c>
      <c r="E2" s="12">
        <f>B3</f>
        <v>18200</v>
      </c>
      <c r="H2" s="11" t="s">
        <v>16</v>
      </c>
      <c r="I2" s="12">
        <f>'Tháng 1'!G52</f>
        <v>0</v>
      </c>
      <c r="J2" s="12">
        <f>'Tháng 1'!F52</f>
        <v>0</v>
      </c>
      <c r="K2" s="11">
        <f>'Tháng 1'!C52</f>
        <v>0</v>
      </c>
      <c r="L2" s="11">
        <f>'Tháng 1'!C53</f>
        <v>0</v>
      </c>
      <c r="M2" s="12">
        <f>'Tháng 1'!E52</f>
        <v>0</v>
      </c>
      <c r="N2" s="11">
        <f>'Tháng 1'!C54</f>
        <v>0</v>
      </c>
    </row>
    <row r="3">
      <c r="A3" s="11" t="s">
        <v>17</v>
      </c>
      <c r="B3" s="12">
        <f>SUM(I2:I13)</f>
        <v>18200</v>
      </c>
      <c r="D3" s="11" t="s">
        <v>18</v>
      </c>
      <c r="E3" s="12">
        <f>B2</f>
        <v>0</v>
      </c>
      <c r="H3" s="11" t="s">
        <v>19</v>
      </c>
      <c r="I3" s="12">
        <f>'Tháng 2'!G52</f>
        <v>0</v>
      </c>
      <c r="J3" s="12">
        <f>'Tháng 2'!F52</f>
        <v>0</v>
      </c>
      <c r="K3" s="11">
        <f>'Tháng 2'!C52</f>
        <v>0</v>
      </c>
      <c r="L3" s="11">
        <f>'Tháng 2'!C53</f>
        <v>0</v>
      </c>
      <c r="M3" s="12">
        <f>'Tháng 2'!E52</f>
        <v>0</v>
      </c>
      <c r="N3" s="11">
        <f>'Tháng 2'!C54</f>
        <v>0</v>
      </c>
    </row>
    <row r="4">
      <c r="H4" s="11" t="s">
        <v>20</v>
      </c>
      <c r="I4" s="12">
        <f>'Tháng 3'!G52</f>
        <v>0</v>
      </c>
      <c r="J4" s="12">
        <f>'Tháng 3'!F52</f>
        <v>0</v>
      </c>
      <c r="K4" s="11">
        <f>'Tháng 3'!C52</f>
        <v>0</v>
      </c>
      <c r="L4" s="11">
        <f>'Tháng 3'!C53</f>
        <v>0</v>
      </c>
      <c r="M4" s="12">
        <f>'Tháng 3'!E52</f>
        <v>0</v>
      </c>
      <c r="N4" s="11">
        <f>'Tháng 3'!C54</f>
        <v>0</v>
      </c>
    </row>
    <row r="5">
      <c r="H5" s="11" t="s">
        <v>21</v>
      </c>
      <c r="I5" s="12">
        <f>'Tháng 4'!G52</f>
        <v>18200</v>
      </c>
      <c r="J5" s="12">
        <f>'Tháng 4'!F52</f>
        <v>0</v>
      </c>
      <c r="K5" s="11">
        <f>'Tháng 4'!C52</f>
        <v>6</v>
      </c>
      <c r="L5" s="11">
        <f>'Tháng 4'!C53</f>
        <v>1</v>
      </c>
      <c r="M5" s="12">
        <f>'Tháng 4'!E52</f>
        <v>18200</v>
      </c>
      <c r="N5" s="11">
        <f>'Tháng 4'!C54</f>
        <v>2</v>
      </c>
    </row>
    <row r="6">
      <c r="D6" s="11" t="s">
        <v>22</v>
      </c>
      <c r="E6" s="11" t="s">
        <v>23</v>
      </c>
      <c r="H6" s="11" t="s">
        <v>24</v>
      </c>
      <c r="I6" s="12">
        <f>'Tháng 5'!G52</f>
        <v>0</v>
      </c>
      <c r="J6" s="12">
        <f>'Tháng 5'!F52</f>
        <v>0</v>
      </c>
      <c r="K6" s="11">
        <f>'Tháng 5'!C52</f>
        <v>0</v>
      </c>
      <c r="L6" s="11">
        <f>'Tháng 5'!C53</f>
        <v>0</v>
      </c>
      <c r="M6" s="12">
        <f>'Tháng 5'!E52</f>
        <v>0</v>
      </c>
      <c r="N6" s="11">
        <f>'Tháng 5'!C54</f>
        <v>0</v>
      </c>
    </row>
    <row r="7">
      <c r="D7" s="11" t="s">
        <v>25</v>
      </c>
      <c r="E7" s="11">
        <f>SUM(K2:K13)</f>
        <v>6</v>
      </c>
      <c r="H7" s="11" t="s">
        <v>26</v>
      </c>
      <c r="I7" s="12">
        <f>'Tháng 6'!G52</f>
        <v>0</v>
      </c>
      <c r="J7" s="12">
        <f>'Tháng 6'!F52</f>
        <v>0</v>
      </c>
      <c r="K7" s="11">
        <f>'Tháng 6'!C52</f>
        <v>0</v>
      </c>
      <c r="L7" s="11">
        <f>'Tháng 6'!C53</f>
        <v>0</v>
      </c>
      <c r="M7" s="12">
        <f>'Tháng 6'!E52</f>
        <v>0</v>
      </c>
      <c r="N7" s="11">
        <f>'Tháng 6'!C54</f>
        <v>0</v>
      </c>
    </row>
    <row r="8">
      <c r="D8" s="11" t="s">
        <v>27</v>
      </c>
      <c r="E8" s="11">
        <f>SUM(L2:L13)</f>
        <v>1</v>
      </c>
      <c r="H8" s="11" t="s">
        <v>28</v>
      </c>
      <c r="I8" s="12">
        <f>'Tháng 7'!G52</f>
        <v>0</v>
      </c>
      <c r="J8" s="12">
        <f>'Tháng 7'!F52</f>
        <v>0</v>
      </c>
      <c r="K8" s="11">
        <f>'Tháng 7'!C52</f>
        <v>0</v>
      </c>
      <c r="L8" s="11">
        <f>'Tháng 7'!C53</f>
        <v>0</v>
      </c>
      <c r="M8" s="12">
        <f>'Tháng 7'!E52</f>
        <v>0</v>
      </c>
      <c r="N8" s="11">
        <f>'Tháng 7'!C54</f>
        <v>0</v>
      </c>
    </row>
    <row r="9">
      <c r="D9" s="11" t="s">
        <v>29</v>
      </c>
      <c r="E9" s="11">
        <f>SUM(N2:N13)</f>
        <v>2</v>
      </c>
      <c r="H9" s="11" t="s">
        <v>30</v>
      </c>
      <c r="I9" s="12">
        <f>'Tháng 8'!G52</f>
        <v>0</v>
      </c>
      <c r="J9" s="12">
        <f>'Tháng 8'!F52</f>
        <v>0</v>
      </c>
      <c r="K9" s="11">
        <f>'Tháng 8'!C52</f>
        <v>0</v>
      </c>
      <c r="L9" s="11">
        <f>'Tháng 8'!C53</f>
        <v>0</v>
      </c>
      <c r="M9" s="12">
        <f>'Tháng 8'!E52</f>
        <v>0</v>
      </c>
      <c r="N9" s="11">
        <f>'Tháng 8'!C54</f>
        <v>0</v>
      </c>
    </row>
    <row r="10">
      <c r="H10" s="11" t="s">
        <v>31</v>
      </c>
      <c r="I10" s="12">
        <f>'Tháng 9'!G52</f>
        <v>0</v>
      </c>
      <c r="J10" s="12">
        <f>'Tháng 9'!F52</f>
        <v>0</v>
      </c>
      <c r="K10" s="11">
        <f>'Tháng 9'!C52</f>
        <v>0</v>
      </c>
      <c r="L10" s="11">
        <f>'Tháng 9'!C53</f>
        <v>0</v>
      </c>
      <c r="M10" s="12">
        <f>'Tháng 9'!E52</f>
        <v>0</v>
      </c>
      <c r="N10" s="11">
        <f>'Tháng 9'!C54</f>
        <v>0</v>
      </c>
    </row>
    <row r="11">
      <c r="H11" s="11" t="s">
        <v>32</v>
      </c>
      <c r="I11" s="12">
        <f>'Tháng 10'!G52</f>
        <v>0</v>
      </c>
      <c r="J11" s="12">
        <f>'Tháng 10'!F52</f>
        <v>0</v>
      </c>
      <c r="K11" s="11">
        <f>'Tháng 10'!C52</f>
        <v>0</v>
      </c>
      <c r="L11" s="11">
        <f>'Tháng 10'!C53</f>
        <v>0</v>
      </c>
      <c r="M11" s="12">
        <f>'Tháng 10'!E52</f>
        <v>0</v>
      </c>
      <c r="N11" s="11">
        <f>'Tháng 10'!C54</f>
        <v>0</v>
      </c>
    </row>
    <row r="12">
      <c r="H12" s="11" t="s">
        <v>33</v>
      </c>
      <c r="I12" s="12">
        <f>'Tháng 11'!G52</f>
        <v>0</v>
      </c>
      <c r="J12" s="12">
        <f>'Tháng 11'!F52</f>
        <v>0</v>
      </c>
      <c r="K12" s="11">
        <f>'Tháng 11'!C52</f>
        <v>0</v>
      </c>
      <c r="L12" s="11">
        <f>'Tháng 11'!C53</f>
        <v>0</v>
      </c>
      <c r="M12" s="12">
        <f>'Tháng 11'!E52</f>
        <v>0</v>
      </c>
      <c r="N12" s="11">
        <f>'Tháng 11'!C54</f>
        <v>0</v>
      </c>
    </row>
    <row r="13">
      <c r="H13" s="11" t="s">
        <v>34</v>
      </c>
      <c r="I13" s="12">
        <f>'Tháng 12'!G52</f>
        <v>0</v>
      </c>
      <c r="J13" s="12">
        <f>'Tháng 12'!F52</f>
        <v>0</v>
      </c>
      <c r="K13" s="11">
        <f>'Tháng 12'!C52</f>
        <v>0</v>
      </c>
      <c r="L13" s="11">
        <f>'Tháng 12'!C53</f>
        <v>0</v>
      </c>
      <c r="M13" s="12">
        <f>'Tháng 12'!E52</f>
        <v>0</v>
      </c>
      <c r="N13" s="11">
        <f>'Tháng 12'!C54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71"/>
    <col customWidth="1" min="2" max="2" width="25.71"/>
    <col customWidth="1" min="3" max="3" width="22.71"/>
    <col customWidth="1" min="4" max="4" width="18.71"/>
    <col customWidth="1" min="5" max="7" width="22.71"/>
    <col customWidth="1" min="8" max="26" width="8.71"/>
  </cols>
  <sheetData>
    <row r="1" ht="30.0" customHeight="1">
      <c r="A1" s="13" t="s">
        <v>35</v>
      </c>
      <c r="B1" s="13" t="s">
        <v>36</v>
      </c>
      <c r="C1" s="13" t="s">
        <v>37</v>
      </c>
      <c r="D1" s="13" t="s">
        <v>38</v>
      </c>
      <c r="E1" s="13" t="s">
        <v>39</v>
      </c>
      <c r="F1" s="13" t="s">
        <v>40</v>
      </c>
      <c r="G1" s="13" t="s">
        <v>41</v>
      </c>
    </row>
    <row r="2">
      <c r="A2" s="14"/>
      <c r="B2" s="15"/>
      <c r="C2" s="16"/>
      <c r="D2" s="17"/>
      <c r="E2" s="18">
        <f t="shared" ref="E2:E51" si="1">IF(C2="O",1,IF(C2="N",0.5,0))*D2</f>
        <v>0</v>
      </c>
      <c r="F2" s="17"/>
      <c r="G2" s="18">
        <f t="shared" ref="G2:G51" si="2">IF(E2=0,0,E2-F2)</f>
        <v>0</v>
      </c>
    </row>
    <row r="3">
      <c r="A3" s="14"/>
      <c r="B3" s="15"/>
      <c r="C3" s="16"/>
      <c r="D3" s="17"/>
      <c r="E3" s="18">
        <f t="shared" si="1"/>
        <v>0</v>
      </c>
      <c r="F3" s="17"/>
      <c r="G3" s="18">
        <f t="shared" si="2"/>
        <v>0</v>
      </c>
    </row>
    <row r="4">
      <c r="A4" s="14"/>
      <c r="B4" s="15"/>
      <c r="C4" s="16"/>
      <c r="D4" s="17"/>
      <c r="E4" s="18">
        <f t="shared" si="1"/>
        <v>0</v>
      </c>
      <c r="F4" s="17"/>
      <c r="G4" s="18">
        <f t="shared" si="2"/>
        <v>0</v>
      </c>
    </row>
    <row r="5">
      <c r="A5" s="14"/>
      <c r="B5" s="15"/>
      <c r="C5" s="16"/>
      <c r="D5" s="17"/>
      <c r="E5" s="18">
        <f t="shared" si="1"/>
        <v>0</v>
      </c>
      <c r="F5" s="17"/>
      <c r="G5" s="18">
        <f t="shared" si="2"/>
        <v>0</v>
      </c>
    </row>
    <row r="6">
      <c r="A6" s="14"/>
      <c r="B6" s="15"/>
      <c r="C6" s="16"/>
      <c r="D6" s="17"/>
      <c r="E6" s="18">
        <f t="shared" si="1"/>
        <v>0</v>
      </c>
      <c r="F6" s="17"/>
      <c r="G6" s="18">
        <f t="shared" si="2"/>
        <v>0</v>
      </c>
    </row>
    <row r="7">
      <c r="A7" s="14"/>
      <c r="B7" s="15"/>
      <c r="C7" s="16"/>
      <c r="D7" s="17"/>
      <c r="E7" s="18">
        <f t="shared" si="1"/>
        <v>0</v>
      </c>
      <c r="F7" s="17"/>
      <c r="G7" s="18">
        <f t="shared" si="2"/>
        <v>0</v>
      </c>
    </row>
    <row r="8">
      <c r="A8" s="14"/>
      <c r="B8" s="15"/>
      <c r="C8" s="16"/>
      <c r="D8" s="17"/>
      <c r="E8" s="18">
        <f t="shared" si="1"/>
        <v>0</v>
      </c>
      <c r="F8" s="17"/>
      <c r="G8" s="18">
        <f t="shared" si="2"/>
        <v>0</v>
      </c>
    </row>
    <row r="9">
      <c r="A9" s="14"/>
      <c r="B9" s="15"/>
      <c r="C9" s="16"/>
      <c r="D9" s="17"/>
      <c r="E9" s="18">
        <f t="shared" si="1"/>
        <v>0</v>
      </c>
      <c r="F9" s="17"/>
      <c r="G9" s="18">
        <f t="shared" si="2"/>
        <v>0</v>
      </c>
    </row>
    <row r="10">
      <c r="A10" s="14"/>
      <c r="B10" s="15"/>
      <c r="C10" s="16"/>
      <c r="D10" s="17"/>
      <c r="E10" s="18">
        <f t="shared" si="1"/>
        <v>0</v>
      </c>
      <c r="F10" s="17"/>
      <c r="G10" s="18">
        <f t="shared" si="2"/>
        <v>0</v>
      </c>
    </row>
    <row r="11">
      <c r="A11" s="14"/>
      <c r="B11" s="15"/>
      <c r="C11" s="16"/>
      <c r="D11" s="17"/>
      <c r="E11" s="18">
        <f t="shared" si="1"/>
        <v>0</v>
      </c>
      <c r="F11" s="17"/>
      <c r="G11" s="18">
        <f t="shared" si="2"/>
        <v>0</v>
      </c>
    </row>
    <row r="12">
      <c r="A12" s="14"/>
      <c r="B12" s="15"/>
      <c r="C12" s="16"/>
      <c r="D12" s="17"/>
      <c r="E12" s="18">
        <f t="shared" si="1"/>
        <v>0</v>
      </c>
      <c r="F12" s="17"/>
      <c r="G12" s="18">
        <f t="shared" si="2"/>
        <v>0</v>
      </c>
    </row>
    <row r="13">
      <c r="A13" s="14"/>
      <c r="B13" s="15"/>
      <c r="C13" s="16"/>
      <c r="D13" s="17"/>
      <c r="E13" s="18">
        <f t="shared" si="1"/>
        <v>0</v>
      </c>
      <c r="F13" s="17"/>
      <c r="G13" s="18">
        <f t="shared" si="2"/>
        <v>0</v>
      </c>
    </row>
    <row r="14">
      <c r="A14" s="14"/>
      <c r="B14" s="15"/>
      <c r="C14" s="16"/>
      <c r="D14" s="17"/>
      <c r="E14" s="18">
        <f t="shared" si="1"/>
        <v>0</v>
      </c>
      <c r="F14" s="17"/>
      <c r="G14" s="18">
        <f t="shared" si="2"/>
        <v>0</v>
      </c>
    </row>
    <row r="15">
      <c r="A15" s="14"/>
      <c r="B15" s="15"/>
      <c r="C15" s="16"/>
      <c r="D15" s="17"/>
      <c r="E15" s="18">
        <f t="shared" si="1"/>
        <v>0</v>
      </c>
      <c r="F15" s="17"/>
      <c r="G15" s="18">
        <f t="shared" si="2"/>
        <v>0</v>
      </c>
    </row>
    <row r="16">
      <c r="A16" s="14"/>
      <c r="B16" s="15"/>
      <c r="C16" s="16"/>
      <c r="D16" s="17"/>
      <c r="E16" s="18">
        <f t="shared" si="1"/>
        <v>0</v>
      </c>
      <c r="F16" s="17"/>
      <c r="G16" s="18">
        <f t="shared" si="2"/>
        <v>0</v>
      </c>
    </row>
    <row r="17">
      <c r="A17" s="14"/>
      <c r="B17" s="15"/>
      <c r="C17" s="16"/>
      <c r="D17" s="17"/>
      <c r="E17" s="18">
        <f t="shared" si="1"/>
        <v>0</v>
      </c>
      <c r="F17" s="17"/>
      <c r="G17" s="18">
        <f t="shared" si="2"/>
        <v>0</v>
      </c>
    </row>
    <row r="18">
      <c r="A18" s="14"/>
      <c r="B18" s="15"/>
      <c r="C18" s="16"/>
      <c r="D18" s="17"/>
      <c r="E18" s="18">
        <f t="shared" si="1"/>
        <v>0</v>
      </c>
      <c r="F18" s="17"/>
      <c r="G18" s="18">
        <f t="shared" si="2"/>
        <v>0</v>
      </c>
    </row>
    <row r="19">
      <c r="A19" s="14"/>
      <c r="B19" s="15"/>
      <c r="C19" s="16"/>
      <c r="D19" s="17"/>
      <c r="E19" s="18">
        <f t="shared" si="1"/>
        <v>0</v>
      </c>
      <c r="F19" s="17"/>
      <c r="G19" s="18">
        <f t="shared" si="2"/>
        <v>0</v>
      </c>
    </row>
    <row r="20">
      <c r="A20" s="14"/>
      <c r="B20" s="15"/>
      <c r="C20" s="16"/>
      <c r="D20" s="17"/>
      <c r="E20" s="18">
        <f t="shared" si="1"/>
        <v>0</v>
      </c>
      <c r="F20" s="17"/>
      <c r="G20" s="18">
        <f t="shared" si="2"/>
        <v>0</v>
      </c>
    </row>
    <row r="21" ht="15.75" customHeight="1">
      <c r="A21" s="14"/>
      <c r="B21" s="15"/>
      <c r="C21" s="16"/>
      <c r="D21" s="17"/>
      <c r="E21" s="18">
        <f t="shared" si="1"/>
        <v>0</v>
      </c>
      <c r="F21" s="17"/>
      <c r="G21" s="18">
        <f t="shared" si="2"/>
        <v>0</v>
      </c>
    </row>
    <row r="22" ht="15.75" customHeight="1">
      <c r="A22" s="14"/>
      <c r="B22" s="15"/>
      <c r="C22" s="16"/>
      <c r="D22" s="17"/>
      <c r="E22" s="18">
        <f t="shared" si="1"/>
        <v>0</v>
      </c>
      <c r="F22" s="17"/>
      <c r="G22" s="18">
        <f t="shared" si="2"/>
        <v>0</v>
      </c>
    </row>
    <row r="23" ht="15.75" customHeight="1">
      <c r="A23" s="14"/>
      <c r="B23" s="15"/>
      <c r="C23" s="16"/>
      <c r="D23" s="17"/>
      <c r="E23" s="18">
        <f t="shared" si="1"/>
        <v>0</v>
      </c>
      <c r="F23" s="17"/>
      <c r="G23" s="18">
        <f t="shared" si="2"/>
        <v>0</v>
      </c>
    </row>
    <row r="24" ht="15.75" customHeight="1">
      <c r="A24" s="14"/>
      <c r="B24" s="15"/>
      <c r="C24" s="16"/>
      <c r="D24" s="17"/>
      <c r="E24" s="18">
        <f t="shared" si="1"/>
        <v>0</v>
      </c>
      <c r="F24" s="17"/>
      <c r="G24" s="18">
        <f t="shared" si="2"/>
        <v>0</v>
      </c>
    </row>
    <row r="25" ht="15.75" customHeight="1">
      <c r="A25" s="14"/>
      <c r="B25" s="15"/>
      <c r="C25" s="16"/>
      <c r="D25" s="17"/>
      <c r="E25" s="18">
        <f t="shared" si="1"/>
        <v>0</v>
      </c>
      <c r="F25" s="17"/>
      <c r="G25" s="18">
        <f t="shared" si="2"/>
        <v>0</v>
      </c>
    </row>
    <row r="26" ht="15.75" customHeight="1">
      <c r="A26" s="14"/>
      <c r="B26" s="15"/>
      <c r="C26" s="16"/>
      <c r="D26" s="17"/>
      <c r="E26" s="18">
        <f t="shared" si="1"/>
        <v>0</v>
      </c>
      <c r="F26" s="17"/>
      <c r="G26" s="18">
        <f t="shared" si="2"/>
        <v>0</v>
      </c>
    </row>
    <row r="27" ht="15.75" customHeight="1">
      <c r="A27" s="14"/>
      <c r="B27" s="15"/>
      <c r="C27" s="16"/>
      <c r="D27" s="17"/>
      <c r="E27" s="18">
        <f t="shared" si="1"/>
        <v>0</v>
      </c>
      <c r="F27" s="17"/>
      <c r="G27" s="18">
        <f t="shared" si="2"/>
        <v>0</v>
      </c>
    </row>
    <row r="28" ht="15.75" customHeight="1">
      <c r="A28" s="14"/>
      <c r="B28" s="15"/>
      <c r="C28" s="16"/>
      <c r="D28" s="17"/>
      <c r="E28" s="18">
        <f t="shared" si="1"/>
        <v>0</v>
      </c>
      <c r="F28" s="17"/>
      <c r="G28" s="18">
        <f t="shared" si="2"/>
        <v>0</v>
      </c>
    </row>
    <row r="29" ht="15.75" customHeight="1">
      <c r="A29" s="14"/>
      <c r="B29" s="15"/>
      <c r="C29" s="16"/>
      <c r="D29" s="17"/>
      <c r="E29" s="18">
        <f t="shared" si="1"/>
        <v>0</v>
      </c>
      <c r="F29" s="17"/>
      <c r="G29" s="18">
        <f t="shared" si="2"/>
        <v>0</v>
      </c>
    </row>
    <row r="30" ht="15.75" customHeight="1">
      <c r="A30" s="14"/>
      <c r="B30" s="15"/>
      <c r="C30" s="16"/>
      <c r="D30" s="17"/>
      <c r="E30" s="18">
        <f t="shared" si="1"/>
        <v>0</v>
      </c>
      <c r="F30" s="17"/>
      <c r="G30" s="18">
        <f t="shared" si="2"/>
        <v>0</v>
      </c>
    </row>
    <row r="31" ht="15.75" customHeight="1">
      <c r="A31" s="14"/>
      <c r="B31" s="15"/>
      <c r="C31" s="16"/>
      <c r="D31" s="17"/>
      <c r="E31" s="18">
        <f t="shared" si="1"/>
        <v>0</v>
      </c>
      <c r="F31" s="17"/>
      <c r="G31" s="18">
        <f t="shared" si="2"/>
        <v>0</v>
      </c>
    </row>
    <row r="32" ht="15.75" customHeight="1">
      <c r="A32" s="14"/>
      <c r="B32" s="15"/>
      <c r="C32" s="16"/>
      <c r="D32" s="17"/>
      <c r="E32" s="18">
        <f t="shared" si="1"/>
        <v>0</v>
      </c>
      <c r="F32" s="17"/>
      <c r="G32" s="18">
        <f t="shared" si="2"/>
        <v>0</v>
      </c>
    </row>
    <row r="33" ht="15.75" customHeight="1">
      <c r="A33" s="14"/>
      <c r="B33" s="15"/>
      <c r="C33" s="16"/>
      <c r="D33" s="17"/>
      <c r="E33" s="18">
        <f t="shared" si="1"/>
        <v>0</v>
      </c>
      <c r="F33" s="17"/>
      <c r="G33" s="18">
        <f t="shared" si="2"/>
        <v>0</v>
      </c>
    </row>
    <row r="34" ht="15.75" customHeight="1">
      <c r="A34" s="14"/>
      <c r="B34" s="15"/>
      <c r="C34" s="16"/>
      <c r="D34" s="17"/>
      <c r="E34" s="18">
        <f t="shared" si="1"/>
        <v>0</v>
      </c>
      <c r="F34" s="17"/>
      <c r="G34" s="18">
        <f t="shared" si="2"/>
        <v>0</v>
      </c>
    </row>
    <row r="35" ht="15.75" customHeight="1">
      <c r="A35" s="14"/>
      <c r="B35" s="15"/>
      <c r="C35" s="16"/>
      <c r="D35" s="17"/>
      <c r="E35" s="18">
        <f t="shared" si="1"/>
        <v>0</v>
      </c>
      <c r="F35" s="17"/>
      <c r="G35" s="18">
        <f t="shared" si="2"/>
        <v>0</v>
      </c>
    </row>
    <row r="36" ht="15.75" customHeight="1">
      <c r="A36" s="14"/>
      <c r="B36" s="15"/>
      <c r="C36" s="16"/>
      <c r="D36" s="17"/>
      <c r="E36" s="18">
        <f t="shared" si="1"/>
        <v>0</v>
      </c>
      <c r="F36" s="17"/>
      <c r="G36" s="18">
        <f t="shared" si="2"/>
        <v>0</v>
      </c>
    </row>
    <row r="37" ht="15.75" customHeight="1">
      <c r="A37" s="14"/>
      <c r="B37" s="15"/>
      <c r="C37" s="16"/>
      <c r="D37" s="17"/>
      <c r="E37" s="18">
        <f t="shared" si="1"/>
        <v>0</v>
      </c>
      <c r="F37" s="17"/>
      <c r="G37" s="18">
        <f t="shared" si="2"/>
        <v>0</v>
      </c>
    </row>
    <row r="38" ht="15.75" customHeight="1">
      <c r="A38" s="14"/>
      <c r="B38" s="15"/>
      <c r="C38" s="16"/>
      <c r="D38" s="17"/>
      <c r="E38" s="18">
        <f t="shared" si="1"/>
        <v>0</v>
      </c>
      <c r="F38" s="17"/>
      <c r="G38" s="18">
        <f t="shared" si="2"/>
        <v>0</v>
      </c>
    </row>
    <row r="39" ht="15.75" customHeight="1">
      <c r="A39" s="14"/>
      <c r="B39" s="15"/>
      <c r="C39" s="16"/>
      <c r="D39" s="17"/>
      <c r="E39" s="18">
        <f t="shared" si="1"/>
        <v>0</v>
      </c>
      <c r="F39" s="17"/>
      <c r="G39" s="18">
        <f t="shared" si="2"/>
        <v>0</v>
      </c>
    </row>
    <row r="40" ht="15.75" customHeight="1">
      <c r="A40" s="14"/>
      <c r="B40" s="15"/>
      <c r="C40" s="16"/>
      <c r="D40" s="17"/>
      <c r="E40" s="18">
        <f t="shared" si="1"/>
        <v>0</v>
      </c>
      <c r="F40" s="17"/>
      <c r="G40" s="18">
        <f t="shared" si="2"/>
        <v>0</v>
      </c>
    </row>
    <row r="41" ht="15.75" customHeight="1">
      <c r="A41" s="14"/>
      <c r="B41" s="15"/>
      <c r="C41" s="16"/>
      <c r="D41" s="17"/>
      <c r="E41" s="18">
        <f t="shared" si="1"/>
        <v>0</v>
      </c>
      <c r="F41" s="17"/>
      <c r="G41" s="18">
        <f t="shared" si="2"/>
        <v>0</v>
      </c>
    </row>
    <row r="42" ht="15.75" customHeight="1">
      <c r="A42" s="14"/>
      <c r="B42" s="15"/>
      <c r="C42" s="16"/>
      <c r="D42" s="17"/>
      <c r="E42" s="18">
        <f t="shared" si="1"/>
        <v>0</v>
      </c>
      <c r="F42" s="17"/>
      <c r="G42" s="18">
        <f t="shared" si="2"/>
        <v>0</v>
      </c>
    </row>
    <row r="43" ht="15.75" customHeight="1">
      <c r="A43" s="14"/>
      <c r="B43" s="15"/>
      <c r="C43" s="16"/>
      <c r="D43" s="17"/>
      <c r="E43" s="18">
        <f t="shared" si="1"/>
        <v>0</v>
      </c>
      <c r="F43" s="17"/>
      <c r="G43" s="18">
        <f t="shared" si="2"/>
        <v>0</v>
      </c>
    </row>
    <row r="44" ht="15.75" customHeight="1">
      <c r="A44" s="14"/>
      <c r="B44" s="15"/>
      <c r="C44" s="16"/>
      <c r="D44" s="17"/>
      <c r="E44" s="18">
        <f t="shared" si="1"/>
        <v>0</v>
      </c>
      <c r="F44" s="17"/>
      <c r="G44" s="18">
        <f t="shared" si="2"/>
        <v>0</v>
      </c>
    </row>
    <row r="45" ht="15.75" customHeight="1">
      <c r="A45" s="14"/>
      <c r="B45" s="15"/>
      <c r="C45" s="16"/>
      <c r="D45" s="17"/>
      <c r="E45" s="18">
        <f t="shared" si="1"/>
        <v>0</v>
      </c>
      <c r="F45" s="17"/>
      <c r="G45" s="18">
        <f t="shared" si="2"/>
        <v>0</v>
      </c>
    </row>
    <row r="46" ht="15.75" customHeight="1">
      <c r="A46" s="14"/>
      <c r="B46" s="15"/>
      <c r="C46" s="16"/>
      <c r="D46" s="17"/>
      <c r="E46" s="18">
        <f t="shared" si="1"/>
        <v>0</v>
      </c>
      <c r="F46" s="17"/>
      <c r="G46" s="18">
        <f t="shared" si="2"/>
        <v>0</v>
      </c>
    </row>
    <row r="47" ht="15.75" customHeight="1">
      <c r="A47" s="14"/>
      <c r="B47" s="15"/>
      <c r="C47" s="16"/>
      <c r="D47" s="17"/>
      <c r="E47" s="18">
        <f t="shared" si="1"/>
        <v>0</v>
      </c>
      <c r="F47" s="17"/>
      <c r="G47" s="18">
        <f t="shared" si="2"/>
        <v>0</v>
      </c>
    </row>
    <row r="48" ht="15.75" customHeight="1">
      <c r="A48" s="14"/>
      <c r="B48" s="15"/>
      <c r="C48" s="16"/>
      <c r="D48" s="17"/>
      <c r="E48" s="18">
        <f t="shared" si="1"/>
        <v>0</v>
      </c>
      <c r="F48" s="17"/>
      <c r="G48" s="18">
        <f t="shared" si="2"/>
        <v>0</v>
      </c>
    </row>
    <row r="49" ht="15.75" customHeight="1">
      <c r="A49" s="14"/>
      <c r="B49" s="15"/>
      <c r="C49" s="16"/>
      <c r="D49" s="17"/>
      <c r="E49" s="18">
        <f t="shared" si="1"/>
        <v>0</v>
      </c>
      <c r="F49" s="17"/>
      <c r="G49" s="18">
        <f t="shared" si="2"/>
        <v>0</v>
      </c>
    </row>
    <row r="50" ht="15.75" customHeight="1">
      <c r="A50" s="14"/>
      <c r="B50" s="15"/>
      <c r="C50" s="16"/>
      <c r="D50" s="17"/>
      <c r="E50" s="18">
        <f t="shared" si="1"/>
        <v>0</v>
      </c>
      <c r="F50" s="17"/>
      <c r="G50" s="18">
        <f t="shared" si="2"/>
        <v>0</v>
      </c>
    </row>
    <row r="51" ht="15.75" customHeight="1">
      <c r="A51" s="14"/>
      <c r="B51" s="15"/>
      <c r="C51" s="16"/>
      <c r="D51" s="17"/>
      <c r="E51" s="18">
        <f t="shared" si="1"/>
        <v>0</v>
      </c>
      <c r="F51" s="17"/>
      <c r="G51" s="18">
        <f t="shared" si="2"/>
        <v>0</v>
      </c>
    </row>
    <row r="52" ht="15.75" customHeight="1">
      <c r="A52" s="13" t="s">
        <v>42</v>
      </c>
      <c r="C52" s="16">
        <f>COUNTIF(C2:C51,"O")</f>
        <v>0</v>
      </c>
      <c r="E52" s="18">
        <f t="shared" ref="E52:G52" si="3">SUM(E2:E51)</f>
        <v>0</v>
      </c>
      <c r="F52" s="18">
        <f t="shared" si="3"/>
        <v>0</v>
      </c>
      <c r="G52" s="18">
        <f t="shared" si="3"/>
        <v>0</v>
      </c>
    </row>
    <row r="53" ht="15.75" customHeight="1">
      <c r="C53" s="16">
        <f>COUNTIF(C2:C51,"N")</f>
        <v>0</v>
      </c>
    </row>
    <row r="54" ht="15.75" customHeight="1">
      <c r="C54" s="16">
        <f>COUNTIF(C2:C51,"X")</f>
        <v>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71"/>
    <col customWidth="1" min="2" max="2" width="25.71"/>
    <col customWidth="1" min="3" max="3" width="22.71"/>
    <col customWidth="1" min="4" max="4" width="18.71"/>
    <col customWidth="1" min="5" max="7" width="22.71"/>
    <col customWidth="1" min="8" max="26" width="8.71"/>
  </cols>
  <sheetData>
    <row r="1" ht="30.0" customHeight="1">
      <c r="A1" s="13" t="s">
        <v>35</v>
      </c>
      <c r="B1" s="13" t="s">
        <v>36</v>
      </c>
      <c r="C1" s="13" t="s">
        <v>37</v>
      </c>
      <c r="D1" s="13" t="s">
        <v>38</v>
      </c>
      <c r="E1" s="13" t="s">
        <v>39</v>
      </c>
      <c r="F1" s="13" t="s">
        <v>40</v>
      </c>
      <c r="G1" s="13" t="s">
        <v>41</v>
      </c>
    </row>
    <row r="2">
      <c r="A2" s="14"/>
      <c r="B2" s="15"/>
      <c r="C2" s="16"/>
      <c r="D2" s="17"/>
      <c r="E2" s="18">
        <f t="shared" ref="E2:E51" si="1">IF(C2="O",1,IF(C2="N",0.5,0))*D2</f>
        <v>0</v>
      </c>
      <c r="F2" s="17"/>
      <c r="G2" s="18">
        <f t="shared" ref="G2:G51" si="2">IF(E2=0,0,E2-F2)</f>
        <v>0</v>
      </c>
    </row>
    <row r="3">
      <c r="A3" s="14"/>
      <c r="B3" s="15"/>
      <c r="C3" s="16"/>
      <c r="D3" s="17"/>
      <c r="E3" s="18">
        <f t="shared" si="1"/>
        <v>0</v>
      </c>
      <c r="F3" s="17"/>
      <c r="G3" s="18">
        <f t="shared" si="2"/>
        <v>0</v>
      </c>
    </row>
    <row r="4">
      <c r="A4" s="14"/>
      <c r="B4" s="15"/>
      <c r="C4" s="16"/>
      <c r="D4" s="17"/>
      <c r="E4" s="18">
        <f t="shared" si="1"/>
        <v>0</v>
      </c>
      <c r="F4" s="17"/>
      <c r="G4" s="18">
        <f t="shared" si="2"/>
        <v>0</v>
      </c>
    </row>
    <row r="5">
      <c r="A5" s="14"/>
      <c r="B5" s="15"/>
      <c r="C5" s="16"/>
      <c r="D5" s="17"/>
      <c r="E5" s="18">
        <f t="shared" si="1"/>
        <v>0</v>
      </c>
      <c r="F5" s="17"/>
      <c r="G5" s="18">
        <f t="shared" si="2"/>
        <v>0</v>
      </c>
    </row>
    <row r="6">
      <c r="A6" s="14"/>
      <c r="B6" s="15"/>
      <c r="C6" s="16"/>
      <c r="D6" s="17"/>
      <c r="E6" s="18">
        <f t="shared" si="1"/>
        <v>0</v>
      </c>
      <c r="F6" s="17"/>
      <c r="G6" s="18">
        <f t="shared" si="2"/>
        <v>0</v>
      </c>
    </row>
    <row r="7">
      <c r="A7" s="14"/>
      <c r="B7" s="15"/>
      <c r="C7" s="16"/>
      <c r="D7" s="17"/>
      <c r="E7" s="18">
        <f t="shared" si="1"/>
        <v>0</v>
      </c>
      <c r="F7" s="17"/>
      <c r="G7" s="18">
        <f t="shared" si="2"/>
        <v>0</v>
      </c>
    </row>
    <row r="8">
      <c r="A8" s="14"/>
      <c r="B8" s="15"/>
      <c r="C8" s="16"/>
      <c r="D8" s="17"/>
      <c r="E8" s="18">
        <f t="shared" si="1"/>
        <v>0</v>
      </c>
      <c r="F8" s="17"/>
      <c r="G8" s="18">
        <f t="shared" si="2"/>
        <v>0</v>
      </c>
    </row>
    <row r="9">
      <c r="A9" s="14"/>
      <c r="B9" s="15"/>
      <c r="C9" s="16"/>
      <c r="D9" s="17"/>
      <c r="E9" s="18">
        <f t="shared" si="1"/>
        <v>0</v>
      </c>
      <c r="F9" s="17"/>
      <c r="G9" s="18">
        <f t="shared" si="2"/>
        <v>0</v>
      </c>
    </row>
    <row r="10">
      <c r="A10" s="14"/>
      <c r="B10" s="15"/>
      <c r="C10" s="16"/>
      <c r="D10" s="17"/>
      <c r="E10" s="18">
        <f t="shared" si="1"/>
        <v>0</v>
      </c>
      <c r="F10" s="17"/>
      <c r="G10" s="18">
        <f t="shared" si="2"/>
        <v>0</v>
      </c>
    </row>
    <row r="11">
      <c r="A11" s="14"/>
      <c r="B11" s="15"/>
      <c r="C11" s="16"/>
      <c r="D11" s="17"/>
      <c r="E11" s="18">
        <f t="shared" si="1"/>
        <v>0</v>
      </c>
      <c r="F11" s="17"/>
      <c r="G11" s="18">
        <f t="shared" si="2"/>
        <v>0</v>
      </c>
    </row>
    <row r="12">
      <c r="A12" s="14"/>
      <c r="B12" s="15"/>
      <c r="C12" s="16"/>
      <c r="D12" s="17"/>
      <c r="E12" s="18">
        <f t="shared" si="1"/>
        <v>0</v>
      </c>
      <c r="F12" s="17"/>
      <c r="G12" s="18">
        <f t="shared" si="2"/>
        <v>0</v>
      </c>
    </row>
    <row r="13">
      <c r="A13" s="14"/>
      <c r="B13" s="15"/>
      <c r="C13" s="16"/>
      <c r="D13" s="17"/>
      <c r="E13" s="18">
        <f t="shared" si="1"/>
        <v>0</v>
      </c>
      <c r="F13" s="17"/>
      <c r="G13" s="18">
        <f t="shared" si="2"/>
        <v>0</v>
      </c>
    </row>
    <row r="14">
      <c r="A14" s="14"/>
      <c r="B14" s="15"/>
      <c r="C14" s="16"/>
      <c r="D14" s="17"/>
      <c r="E14" s="18">
        <f t="shared" si="1"/>
        <v>0</v>
      </c>
      <c r="F14" s="17"/>
      <c r="G14" s="18">
        <f t="shared" si="2"/>
        <v>0</v>
      </c>
    </row>
    <row r="15">
      <c r="A15" s="14"/>
      <c r="B15" s="15"/>
      <c r="C15" s="16"/>
      <c r="D15" s="17"/>
      <c r="E15" s="18">
        <f t="shared" si="1"/>
        <v>0</v>
      </c>
      <c r="F15" s="17"/>
      <c r="G15" s="18">
        <f t="shared" si="2"/>
        <v>0</v>
      </c>
    </row>
    <row r="16">
      <c r="A16" s="14"/>
      <c r="B16" s="15"/>
      <c r="C16" s="16"/>
      <c r="D16" s="17"/>
      <c r="E16" s="18">
        <f t="shared" si="1"/>
        <v>0</v>
      </c>
      <c r="F16" s="17"/>
      <c r="G16" s="18">
        <f t="shared" si="2"/>
        <v>0</v>
      </c>
    </row>
    <row r="17">
      <c r="A17" s="14"/>
      <c r="B17" s="15"/>
      <c r="C17" s="16"/>
      <c r="D17" s="17"/>
      <c r="E17" s="18">
        <f t="shared" si="1"/>
        <v>0</v>
      </c>
      <c r="F17" s="17"/>
      <c r="G17" s="18">
        <f t="shared" si="2"/>
        <v>0</v>
      </c>
    </row>
    <row r="18">
      <c r="A18" s="14"/>
      <c r="B18" s="15"/>
      <c r="C18" s="16"/>
      <c r="D18" s="17"/>
      <c r="E18" s="18">
        <f t="shared" si="1"/>
        <v>0</v>
      </c>
      <c r="F18" s="17"/>
      <c r="G18" s="18">
        <f t="shared" si="2"/>
        <v>0</v>
      </c>
    </row>
    <row r="19">
      <c r="A19" s="14"/>
      <c r="B19" s="15"/>
      <c r="C19" s="16"/>
      <c r="D19" s="17"/>
      <c r="E19" s="18">
        <f t="shared" si="1"/>
        <v>0</v>
      </c>
      <c r="F19" s="17"/>
      <c r="G19" s="18">
        <f t="shared" si="2"/>
        <v>0</v>
      </c>
    </row>
    <row r="20">
      <c r="A20" s="14"/>
      <c r="B20" s="15"/>
      <c r="C20" s="16"/>
      <c r="D20" s="17"/>
      <c r="E20" s="18">
        <f t="shared" si="1"/>
        <v>0</v>
      </c>
      <c r="F20" s="17"/>
      <c r="G20" s="18">
        <f t="shared" si="2"/>
        <v>0</v>
      </c>
    </row>
    <row r="21" ht="15.75" customHeight="1">
      <c r="A21" s="14"/>
      <c r="B21" s="15"/>
      <c r="C21" s="16"/>
      <c r="D21" s="17"/>
      <c r="E21" s="18">
        <f t="shared" si="1"/>
        <v>0</v>
      </c>
      <c r="F21" s="17"/>
      <c r="G21" s="18">
        <f t="shared" si="2"/>
        <v>0</v>
      </c>
    </row>
    <row r="22" ht="15.75" customHeight="1">
      <c r="A22" s="14"/>
      <c r="B22" s="15"/>
      <c r="C22" s="16"/>
      <c r="D22" s="17"/>
      <c r="E22" s="18">
        <f t="shared" si="1"/>
        <v>0</v>
      </c>
      <c r="F22" s="17"/>
      <c r="G22" s="18">
        <f t="shared" si="2"/>
        <v>0</v>
      </c>
    </row>
    <row r="23" ht="15.75" customHeight="1">
      <c r="A23" s="14"/>
      <c r="B23" s="15"/>
      <c r="C23" s="16"/>
      <c r="D23" s="17"/>
      <c r="E23" s="18">
        <f t="shared" si="1"/>
        <v>0</v>
      </c>
      <c r="F23" s="17"/>
      <c r="G23" s="18">
        <f t="shared" si="2"/>
        <v>0</v>
      </c>
    </row>
    <row r="24" ht="15.75" customHeight="1">
      <c r="A24" s="14"/>
      <c r="B24" s="15"/>
      <c r="C24" s="16"/>
      <c r="D24" s="17"/>
      <c r="E24" s="18">
        <f t="shared" si="1"/>
        <v>0</v>
      </c>
      <c r="F24" s="17"/>
      <c r="G24" s="18">
        <f t="shared" si="2"/>
        <v>0</v>
      </c>
    </row>
    <row r="25" ht="15.75" customHeight="1">
      <c r="A25" s="14"/>
      <c r="B25" s="15"/>
      <c r="C25" s="16"/>
      <c r="D25" s="17"/>
      <c r="E25" s="18">
        <f t="shared" si="1"/>
        <v>0</v>
      </c>
      <c r="F25" s="17"/>
      <c r="G25" s="18">
        <f t="shared" si="2"/>
        <v>0</v>
      </c>
    </row>
    <row r="26" ht="15.75" customHeight="1">
      <c r="A26" s="14"/>
      <c r="B26" s="15"/>
      <c r="C26" s="16"/>
      <c r="D26" s="17"/>
      <c r="E26" s="18">
        <f t="shared" si="1"/>
        <v>0</v>
      </c>
      <c r="F26" s="17"/>
      <c r="G26" s="18">
        <f t="shared" si="2"/>
        <v>0</v>
      </c>
    </row>
    <row r="27" ht="15.75" customHeight="1">
      <c r="A27" s="14"/>
      <c r="B27" s="15"/>
      <c r="C27" s="16"/>
      <c r="D27" s="17"/>
      <c r="E27" s="18">
        <f t="shared" si="1"/>
        <v>0</v>
      </c>
      <c r="F27" s="17"/>
      <c r="G27" s="18">
        <f t="shared" si="2"/>
        <v>0</v>
      </c>
    </row>
    <row r="28" ht="15.75" customHeight="1">
      <c r="A28" s="14"/>
      <c r="B28" s="15"/>
      <c r="C28" s="16"/>
      <c r="D28" s="17"/>
      <c r="E28" s="18">
        <f t="shared" si="1"/>
        <v>0</v>
      </c>
      <c r="F28" s="17"/>
      <c r="G28" s="18">
        <f t="shared" si="2"/>
        <v>0</v>
      </c>
    </row>
    <row r="29" ht="15.75" customHeight="1">
      <c r="A29" s="14"/>
      <c r="B29" s="15"/>
      <c r="C29" s="16"/>
      <c r="D29" s="17"/>
      <c r="E29" s="18">
        <f t="shared" si="1"/>
        <v>0</v>
      </c>
      <c r="F29" s="17"/>
      <c r="G29" s="18">
        <f t="shared" si="2"/>
        <v>0</v>
      </c>
    </row>
    <row r="30" ht="15.75" customHeight="1">
      <c r="A30" s="14"/>
      <c r="B30" s="15"/>
      <c r="C30" s="16"/>
      <c r="D30" s="17"/>
      <c r="E30" s="18">
        <f t="shared" si="1"/>
        <v>0</v>
      </c>
      <c r="F30" s="17"/>
      <c r="G30" s="18">
        <f t="shared" si="2"/>
        <v>0</v>
      </c>
    </row>
    <row r="31" ht="15.75" customHeight="1">
      <c r="A31" s="14"/>
      <c r="B31" s="15"/>
      <c r="C31" s="16"/>
      <c r="D31" s="17"/>
      <c r="E31" s="18">
        <f t="shared" si="1"/>
        <v>0</v>
      </c>
      <c r="F31" s="17"/>
      <c r="G31" s="18">
        <f t="shared" si="2"/>
        <v>0</v>
      </c>
    </row>
    <row r="32" ht="15.75" customHeight="1">
      <c r="A32" s="14"/>
      <c r="B32" s="15"/>
      <c r="C32" s="16"/>
      <c r="D32" s="17"/>
      <c r="E32" s="18">
        <f t="shared" si="1"/>
        <v>0</v>
      </c>
      <c r="F32" s="17"/>
      <c r="G32" s="18">
        <f t="shared" si="2"/>
        <v>0</v>
      </c>
    </row>
    <row r="33" ht="15.75" customHeight="1">
      <c r="A33" s="14"/>
      <c r="B33" s="15"/>
      <c r="C33" s="16"/>
      <c r="D33" s="17"/>
      <c r="E33" s="18">
        <f t="shared" si="1"/>
        <v>0</v>
      </c>
      <c r="F33" s="17"/>
      <c r="G33" s="18">
        <f t="shared" si="2"/>
        <v>0</v>
      </c>
    </row>
    <row r="34" ht="15.75" customHeight="1">
      <c r="A34" s="14"/>
      <c r="B34" s="15"/>
      <c r="C34" s="16"/>
      <c r="D34" s="17"/>
      <c r="E34" s="18">
        <f t="shared" si="1"/>
        <v>0</v>
      </c>
      <c r="F34" s="17"/>
      <c r="G34" s="18">
        <f t="shared" si="2"/>
        <v>0</v>
      </c>
    </row>
    <row r="35" ht="15.75" customHeight="1">
      <c r="A35" s="14"/>
      <c r="B35" s="15"/>
      <c r="C35" s="16"/>
      <c r="D35" s="17"/>
      <c r="E35" s="18">
        <f t="shared" si="1"/>
        <v>0</v>
      </c>
      <c r="F35" s="17"/>
      <c r="G35" s="18">
        <f t="shared" si="2"/>
        <v>0</v>
      </c>
    </row>
    <row r="36" ht="15.75" customHeight="1">
      <c r="A36" s="14"/>
      <c r="B36" s="15"/>
      <c r="C36" s="16"/>
      <c r="D36" s="17"/>
      <c r="E36" s="18">
        <f t="shared" si="1"/>
        <v>0</v>
      </c>
      <c r="F36" s="17"/>
      <c r="G36" s="18">
        <f t="shared" si="2"/>
        <v>0</v>
      </c>
    </row>
    <row r="37" ht="15.75" customHeight="1">
      <c r="A37" s="14"/>
      <c r="B37" s="15"/>
      <c r="C37" s="16"/>
      <c r="D37" s="17"/>
      <c r="E37" s="18">
        <f t="shared" si="1"/>
        <v>0</v>
      </c>
      <c r="F37" s="17"/>
      <c r="G37" s="18">
        <f t="shared" si="2"/>
        <v>0</v>
      </c>
    </row>
    <row r="38" ht="15.75" customHeight="1">
      <c r="A38" s="14"/>
      <c r="B38" s="15"/>
      <c r="C38" s="16"/>
      <c r="D38" s="17"/>
      <c r="E38" s="18">
        <f t="shared" si="1"/>
        <v>0</v>
      </c>
      <c r="F38" s="17"/>
      <c r="G38" s="18">
        <f t="shared" si="2"/>
        <v>0</v>
      </c>
    </row>
    <row r="39" ht="15.75" customHeight="1">
      <c r="A39" s="14"/>
      <c r="B39" s="15"/>
      <c r="C39" s="16"/>
      <c r="D39" s="17"/>
      <c r="E39" s="18">
        <f t="shared" si="1"/>
        <v>0</v>
      </c>
      <c r="F39" s="17"/>
      <c r="G39" s="18">
        <f t="shared" si="2"/>
        <v>0</v>
      </c>
    </row>
    <row r="40" ht="15.75" customHeight="1">
      <c r="A40" s="14"/>
      <c r="B40" s="15"/>
      <c r="C40" s="16"/>
      <c r="D40" s="17"/>
      <c r="E40" s="18">
        <f t="shared" si="1"/>
        <v>0</v>
      </c>
      <c r="F40" s="17"/>
      <c r="G40" s="18">
        <f t="shared" si="2"/>
        <v>0</v>
      </c>
    </row>
    <row r="41" ht="15.75" customHeight="1">
      <c r="A41" s="14"/>
      <c r="B41" s="15"/>
      <c r="C41" s="16"/>
      <c r="D41" s="17"/>
      <c r="E41" s="18">
        <f t="shared" si="1"/>
        <v>0</v>
      </c>
      <c r="F41" s="17"/>
      <c r="G41" s="18">
        <f t="shared" si="2"/>
        <v>0</v>
      </c>
    </row>
    <row r="42" ht="15.75" customHeight="1">
      <c r="A42" s="14"/>
      <c r="B42" s="15"/>
      <c r="C42" s="16"/>
      <c r="D42" s="17"/>
      <c r="E42" s="18">
        <f t="shared" si="1"/>
        <v>0</v>
      </c>
      <c r="F42" s="17"/>
      <c r="G42" s="18">
        <f t="shared" si="2"/>
        <v>0</v>
      </c>
    </row>
    <row r="43" ht="15.75" customHeight="1">
      <c r="A43" s="14"/>
      <c r="B43" s="15"/>
      <c r="C43" s="16"/>
      <c r="D43" s="17"/>
      <c r="E43" s="18">
        <f t="shared" si="1"/>
        <v>0</v>
      </c>
      <c r="F43" s="17"/>
      <c r="G43" s="18">
        <f t="shared" si="2"/>
        <v>0</v>
      </c>
    </row>
    <row r="44" ht="15.75" customHeight="1">
      <c r="A44" s="14"/>
      <c r="B44" s="15"/>
      <c r="C44" s="16"/>
      <c r="D44" s="17"/>
      <c r="E44" s="18">
        <f t="shared" si="1"/>
        <v>0</v>
      </c>
      <c r="F44" s="17"/>
      <c r="G44" s="18">
        <f t="shared" si="2"/>
        <v>0</v>
      </c>
    </row>
    <row r="45" ht="15.75" customHeight="1">
      <c r="A45" s="14"/>
      <c r="B45" s="15"/>
      <c r="C45" s="16"/>
      <c r="D45" s="17"/>
      <c r="E45" s="18">
        <f t="shared" si="1"/>
        <v>0</v>
      </c>
      <c r="F45" s="17"/>
      <c r="G45" s="18">
        <f t="shared" si="2"/>
        <v>0</v>
      </c>
    </row>
    <row r="46" ht="15.75" customHeight="1">
      <c r="A46" s="14"/>
      <c r="B46" s="15"/>
      <c r="C46" s="16"/>
      <c r="D46" s="17"/>
      <c r="E46" s="18">
        <f t="shared" si="1"/>
        <v>0</v>
      </c>
      <c r="F46" s="17"/>
      <c r="G46" s="18">
        <f t="shared" si="2"/>
        <v>0</v>
      </c>
    </row>
    <row r="47" ht="15.75" customHeight="1">
      <c r="A47" s="14"/>
      <c r="B47" s="15"/>
      <c r="C47" s="16"/>
      <c r="D47" s="17"/>
      <c r="E47" s="18">
        <f t="shared" si="1"/>
        <v>0</v>
      </c>
      <c r="F47" s="17"/>
      <c r="G47" s="18">
        <f t="shared" si="2"/>
        <v>0</v>
      </c>
    </row>
    <row r="48" ht="15.75" customHeight="1">
      <c r="A48" s="14"/>
      <c r="B48" s="15"/>
      <c r="C48" s="16"/>
      <c r="D48" s="17"/>
      <c r="E48" s="18">
        <f t="shared" si="1"/>
        <v>0</v>
      </c>
      <c r="F48" s="17"/>
      <c r="G48" s="18">
        <f t="shared" si="2"/>
        <v>0</v>
      </c>
    </row>
    <row r="49" ht="15.75" customHeight="1">
      <c r="A49" s="14"/>
      <c r="B49" s="15"/>
      <c r="C49" s="16"/>
      <c r="D49" s="17"/>
      <c r="E49" s="18">
        <f t="shared" si="1"/>
        <v>0</v>
      </c>
      <c r="F49" s="17"/>
      <c r="G49" s="18">
        <f t="shared" si="2"/>
        <v>0</v>
      </c>
    </row>
    <row r="50" ht="15.75" customHeight="1">
      <c r="A50" s="14"/>
      <c r="B50" s="15"/>
      <c r="C50" s="16"/>
      <c r="D50" s="17"/>
      <c r="E50" s="18">
        <f t="shared" si="1"/>
        <v>0</v>
      </c>
      <c r="F50" s="17"/>
      <c r="G50" s="18">
        <f t="shared" si="2"/>
        <v>0</v>
      </c>
    </row>
    <row r="51" ht="15.75" customHeight="1">
      <c r="A51" s="14"/>
      <c r="B51" s="15"/>
      <c r="C51" s="16"/>
      <c r="D51" s="17"/>
      <c r="E51" s="18">
        <f t="shared" si="1"/>
        <v>0</v>
      </c>
      <c r="F51" s="17"/>
      <c r="G51" s="18">
        <f t="shared" si="2"/>
        <v>0</v>
      </c>
    </row>
    <row r="52" ht="15.75" customHeight="1">
      <c r="A52" s="13" t="s">
        <v>43</v>
      </c>
      <c r="C52" s="16">
        <f>COUNTIF(C2:C51,"O")</f>
        <v>0</v>
      </c>
      <c r="E52" s="18">
        <f t="shared" ref="E52:G52" si="3">SUM(E2:E51)</f>
        <v>0</v>
      </c>
      <c r="F52" s="18">
        <f t="shared" si="3"/>
        <v>0</v>
      </c>
      <c r="G52" s="18">
        <f t="shared" si="3"/>
        <v>0</v>
      </c>
    </row>
    <row r="53" ht="15.75" customHeight="1">
      <c r="C53" s="16">
        <f>COUNTIF(C2:C51,"N")</f>
        <v>0</v>
      </c>
    </row>
    <row r="54" ht="15.75" customHeight="1">
      <c r="C54" s="16">
        <f>COUNTIF(C2:C51,"X")</f>
        <v>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71"/>
    <col customWidth="1" min="2" max="2" width="25.71"/>
    <col customWidth="1" min="3" max="3" width="22.71"/>
    <col customWidth="1" min="4" max="4" width="18.71"/>
    <col customWidth="1" min="5" max="7" width="22.71"/>
    <col customWidth="1" min="8" max="26" width="8.71"/>
  </cols>
  <sheetData>
    <row r="1" ht="30.0" customHeight="1">
      <c r="A1" s="13" t="s">
        <v>35</v>
      </c>
      <c r="B1" s="13" t="s">
        <v>36</v>
      </c>
      <c r="C1" s="13" t="s">
        <v>37</v>
      </c>
      <c r="D1" s="13" t="s">
        <v>38</v>
      </c>
      <c r="E1" s="13" t="s">
        <v>39</v>
      </c>
      <c r="F1" s="13" t="s">
        <v>40</v>
      </c>
      <c r="G1" s="13" t="s">
        <v>41</v>
      </c>
    </row>
    <row r="2">
      <c r="A2" s="14"/>
      <c r="B2" s="15"/>
      <c r="C2" s="16"/>
      <c r="D2" s="17"/>
      <c r="E2" s="18">
        <f t="shared" ref="E2:E51" si="1">IF(C2="O",1,IF(C2="N",0.5,0))*D2</f>
        <v>0</v>
      </c>
      <c r="F2" s="17"/>
      <c r="G2" s="18">
        <f t="shared" ref="G2:G51" si="2">IF(E2=0,0,E2-F2)</f>
        <v>0</v>
      </c>
    </row>
    <row r="3">
      <c r="A3" s="14"/>
      <c r="B3" s="15"/>
      <c r="C3" s="16"/>
      <c r="D3" s="17"/>
      <c r="E3" s="18">
        <f t="shared" si="1"/>
        <v>0</v>
      </c>
      <c r="F3" s="17"/>
      <c r="G3" s="18">
        <f t="shared" si="2"/>
        <v>0</v>
      </c>
    </row>
    <row r="4">
      <c r="A4" s="14"/>
      <c r="B4" s="15"/>
      <c r="C4" s="16"/>
      <c r="D4" s="17"/>
      <c r="E4" s="18">
        <f t="shared" si="1"/>
        <v>0</v>
      </c>
      <c r="F4" s="17"/>
      <c r="G4" s="18">
        <f t="shared" si="2"/>
        <v>0</v>
      </c>
    </row>
    <row r="5">
      <c r="A5" s="14"/>
      <c r="B5" s="15"/>
      <c r="C5" s="16"/>
      <c r="D5" s="17"/>
      <c r="E5" s="18">
        <f t="shared" si="1"/>
        <v>0</v>
      </c>
      <c r="F5" s="17"/>
      <c r="G5" s="18">
        <f t="shared" si="2"/>
        <v>0</v>
      </c>
    </row>
    <row r="6">
      <c r="A6" s="14"/>
      <c r="B6" s="15"/>
      <c r="C6" s="16"/>
      <c r="D6" s="17"/>
      <c r="E6" s="18">
        <f t="shared" si="1"/>
        <v>0</v>
      </c>
      <c r="F6" s="17"/>
      <c r="G6" s="18">
        <f t="shared" si="2"/>
        <v>0</v>
      </c>
    </row>
    <row r="7">
      <c r="A7" s="14"/>
      <c r="B7" s="15"/>
      <c r="C7" s="16"/>
      <c r="D7" s="17"/>
      <c r="E7" s="18">
        <f t="shared" si="1"/>
        <v>0</v>
      </c>
      <c r="F7" s="17"/>
      <c r="G7" s="18">
        <f t="shared" si="2"/>
        <v>0</v>
      </c>
    </row>
    <row r="8">
      <c r="A8" s="14"/>
      <c r="B8" s="15"/>
      <c r="C8" s="16"/>
      <c r="D8" s="17"/>
      <c r="E8" s="18">
        <f t="shared" si="1"/>
        <v>0</v>
      </c>
      <c r="F8" s="17"/>
      <c r="G8" s="18">
        <f t="shared" si="2"/>
        <v>0</v>
      </c>
    </row>
    <row r="9">
      <c r="A9" s="14"/>
      <c r="B9" s="15"/>
      <c r="C9" s="16"/>
      <c r="D9" s="17"/>
      <c r="E9" s="18">
        <f t="shared" si="1"/>
        <v>0</v>
      </c>
      <c r="F9" s="17"/>
      <c r="G9" s="18">
        <f t="shared" si="2"/>
        <v>0</v>
      </c>
    </row>
    <row r="10">
      <c r="A10" s="14"/>
      <c r="B10" s="15"/>
      <c r="C10" s="16"/>
      <c r="D10" s="17"/>
      <c r="E10" s="18">
        <f t="shared" si="1"/>
        <v>0</v>
      </c>
      <c r="F10" s="17"/>
      <c r="G10" s="18">
        <f t="shared" si="2"/>
        <v>0</v>
      </c>
    </row>
    <row r="11">
      <c r="A11" s="14"/>
      <c r="B11" s="15"/>
      <c r="C11" s="16"/>
      <c r="D11" s="17"/>
      <c r="E11" s="18">
        <f t="shared" si="1"/>
        <v>0</v>
      </c>
      <c r="F11" s="17"/>
      <c r="G11" s="18">
        <f t="shared" si="2"/>
        <v>0</v>
      </c>
    </row>
    <row r="12">
      <c r="A12" s="14"/>
      <c r="B12" s="15"/>
      <c r="C12" s="16"/>
      <c r="D12" s="17"/>
      <c r="E12" s="18">
        <f t="shared" si="1"/>
        <v>0</v>
      </c>
      <c r="F12" s="17"/>
      <c r="G12" s="18">
        <f t="shared" si="2"/>
        <v>0</v>
      </c>
    </row>
    <row r="13">
      <c r="A13" s="14"/>
      <c r="B13" s="15"/>
      <c r="C13" s="16"/>
      <c r="D13" s="17"/>
      <c r="E13" s="18">
        <f t="shared" si="1"/>
        <v>0</v>
      </c>
      <c r="F13" s="17"/>
      <c r="G13" s="18">
        <f t="shared" si="2"/>
        <v>0</v>
      </c>
    </row>
    <row r="14">
      <c r="A14" s="14"/>
      <c r="B14" s="15"/>
      <c r="C14" s="16"/>
      <c r="D14" s="17"/>
      <c r="E14" s="18">
        <f t="shared" si="1"/>
        <v>0</v>
      </c>
      <c r="F14" s="17"/>
      <c r="G14" s="18">
        <f t="shared" si="2"/>
        <v>0</v>
      </c>
    </row>
    <row r="15">
      <c r="A15" s="14"/>
      <c r="B15" s="15"/>
      <c r="C15" s="16"/>
      <c r="D15" s="17"/>
      <c r="E15" s="18">
        <f t="shared" si="1"/>
        <v>0</v>
      </c>
      <c r="F15" s="17"/>
      <c r="G15" s="18">
        <f t="shared" si="2"/>
        <v>0</v>
      </c>
    </row>
    <row r="16">
      <c r="A16" s="14"/>
      <c r="B16" s="15"/>
      <c r="C16" s="16"/>
      <c r="D16" s="17"/>
      <c r="E16" s="18">
        <f t="shared" si="1"/>
        <v>0</v>
      </c>
      <c r="F16" s="17"/>
      <c r="G16" s="18">
        <f t="shared" si="2"/>
        <v>0</v>
      </c>
    </row>
    <row r="17">
      <c r="A17" s="14"/>
      <c r="B17" s="15"/>
      <c r="C17" s="16"/>
      <c r="D17" s="17"/>
      <c r="E17" s="18">
        <f t="shared" si="1"/>
        <v>0</v>
      </c>
      <c r="F17" s="17"/>
      <c r="G17" s="18">
        <f t="shared" si="2"/>
        <v>0</v>
      </c>
    </row>
    <row r="18">
      <c r="A18" s="14"/>
      <c r="B18" s="15"/>
      <c r="C18" s="16"/>
      <c r="D18" s="17"/>
      <c r="E18" s="18">
        <f t="shared" si="1"/>
        <v>0</v>
      </c>
      <c r="F18" s="17"/>
      <c r="G18" s="18">
        <f t="shared" si="2"/>
        <v>0</v>
      </c>
    </row>
    <row r="19">
      <c r="A19" s="14"/>
      <c r="B19" s="15"/>
      <c r="C19" s="16"/>
      <c r="D19" s="17"/>
      <c r="E19" s="18">
        <f t="shared" si="1"/>
        <v>0</v>
      </c>
      <c r="F19" s="17"/>
      <c r="G19" s="18">
        <f t="shared" si="2"/>
        <v>0</v>
      </c>
    </row>
    <row r="20">
      <c r="A20" s="14"/>
      <c r="B20" s="15"/>
      <c r="C20" s="16"/>
      <c r="D20" s="17"/>
      <c r="E20" s="18">
        <f t="shared" si="1"/>
        <v>0</v>
      </c>
      <c r="F20" s="17"/>
      <c r="G20" s="18">
        <f t="shared" si="2"/>
        <v>0</v>
      </c>
    </row>
    <row r="21" ht="15.75" customHeight="1">
      <c r="A21" s="14"/>
      <c r="B21" s="15"/>
      <c r="C21" s="16"/>
      <c r="D21" s="17"/>
      <c r="E21" s="18">
        <f t="shared" si="1"/>
        <v>0</v>
      </c>
      <c r="F21" s="17"/>
      <c r="G21" s="18">
        <f t="shared" si="2"/>
        <v>0</v>
      </c>
    </row>
    <row r="22" ht="15.75" customHeight="1">
      <c r="A22" s="14"/>
      <c r="B22" s="15"/>
      <c r="C22" s="16"/>
      <c r="D22" s="17"/>
      <c r="E22" s="18">
        <f t="shared" si="1"/>
        <v>0</v>
      </c>
      <c r="F22" s="17"/>
      <c r="G22" s="18">
        <f t="shared" si="2"/>
        <v>0</v>
      </c>
    </row>
    <row r="23" ht="15.75" customHeight="1">
      <c r="A23" s="14"/>
      <c r="B23" s="15"/>
      <c r="C23" s="16"/>
      <c r="D23" s="17"/>
      <c r="E23" s="18">
        <f t="shared" si="1"/>
        <v>0</v>
      </c>
      <c r="F23" s="17"/>
      <c r="G23" s="18">
        <f t="shared" si="2"/>
        <v>0</v>
      </c>
    </row>
    <row r="24" ht="15.75" customHeight="1">
      <c r="A24" s="14"/>
      <c r="B24" s="15"/>
      <c r="C24" s="16"/>
      <c r="D24" s="17"/>
      <c r="E24" s="18">
        <f t="shared" si="1"/>
        <v>0</v>
      </c>
      <c r="F24" s="17"/>
      <c r="G24" s="18">
        <f t="shared" si="2"/>
        <v>0</v>
      </c>
    </row>
    <row r="25" ht="15.75" customHeight="1">
      <c r="A25" s="14"/>
      <c r="B25" s="15"/>
      <c r="C25" s="16"/>
      <c r="D25" s="17"/>
      <c r="E25" s="18">
        <f t="shared" si="1"/>
        <v>0</v>
      </c>
      <c r="F25" s="17"/>
      <c r="G25" s="18">
        <f t="shared" si="2"/>
        <v>0</v>
      </c>
    </row>
    <row r="26" ht="15.75" customHeight="1">
      <c r="A26" s="14"/>
      <c r="B26" s="15"/>
      <c r="C26" s="16"/>
      <c r="D26" s="17"/>
      <c r="E26" s="18">
        <f t="shared" si="1"/>
        <v>0</v>
      </c>
      <c r="F26" s="17"/>
      <c r="G26" s="18">
        <f t="shared" si="2"/>
        <v>0</v>
      </c>
    </row>
    <row r="27" ht="15.75" customHeight="1">
      <c r="A27" s="14"/>
      <c r="B27" s="15"/>
      <c r="C27" s="16"/>
      <c r="D27" s="17"/>
      <c r="E27" s="18">
        <f t="shared" si="1"/>
        <v>0</v>
      </c>
      <c r="F27" s="17"/>
      <c r="G27" s="18">
        <f t="shared" si="2"/>
        <v>0</v>
      </c>
    </row>
    <row r="28" ht="15.75" customHeight="1">
      <c r="A28" s="14"/>
      <c r="B28" s="15"/>
      <c r="C28" s="16"/>
      <c r="D28" s="17"/>
      <c r="E28" s="18">
        <f t="shared" si="1"/>
        <v>0</v>
      </c>
      <c r="F28" s="17"/>
      <c r="G28" s="18">
        <f t="shared" si="2"/>
        <v>0</v>
      </c>
    </row>
    <row r="29" ht="15.75" customHeight="1">
      <c r="A29" s="14"/>
      <c r="B29" s="15"/>
      <c r="C29" s="16"/>
      <c r="D29" s="17"/>
      <c r="E29" s="18">
        <f t="shared" si="1"/>
        <v>0</v>
      </c>
      <c r="F29" s="17"/>
      <c r="G29" s="18">
        <f t="shared" si="2"/>
        <v>0</v>
      </c>
    </row>
    <row r="30" ht="15.75" customHeight="1">
      <c r="A30" s="14"/>
      <c r="B30" s="15"/>
      <c r="C30" s="16"/>
      <c r="D30" s="17"/>
      <c r="E30" s="18">
        <f t="shared" si="1"/>
        <v>0</v>
      </c>
      <c r="F30" s="17"/>
      <c r="G30" s="18">
        <f t="shared" si="2"/>
        <v>0</v>
      </c>
    </row>
    <row r="31" ht="15.75" customHeight="1">
      <c r="A31" s="14"/>
      <c r="B31" s="15"/>
      <c r="C31" s="16"/>
      <c r="D31" s="17"/>
      <c r="E31" s="18">
        <f t="shared" si="1"/>
        <v>0</v>
      </c>
      <c r="F31" s="17"/>
      <c r="G31" s="18">
        <f t="shared" si="2"/>
        <v>0</v>
      </c>
    </row>
    <row r="32" ht="15.75" customHeight="1">
      <c r="A32" s="14"/>
      <c r="B32" s="15"/>
      <c r="C32" s="16"/>
      <c r="D32" s="17"/>
      <c r="E32" s="18">
        <f t="shared" si="1"/>
        <v>0</v>
      </c>
      <c r="F32" s="17"/>
      <c r="G32" s="18">
        <f t="shared" si="2"/>
        <v>0</v>
      </c>
    </row>
    <row r="33" ht="15.75" customHeight="1">
      <c r="A33" s="14"/>
      <c r="B33" s="15"/>
      <c r="C33" s="16"/>
      <c r="D33" s="17"/>
      <c r="E33" s="18">
        <f t="shared" si="1"/>
        <v>0</v>
      </c>
      <c r="F33" s="17"/>
      <c r="G33" s="18">
        <f t="shared" si="2"/>
        <v>0</v>
      </c>
    </row>
    <row r="34" ht="15.75" customHeight="1">
      <c r="A34" s="14"/>
      <c r="B34" s="15"/>
      <c r="C34" s="16"/>
      <c r="D34" s="17"/>
      <c r="E34" s="18">
        <f t="shared" si="1"/>
        <v>0</v>
      </c>
      <c r="F34" s="17"/>
      <c r="G34" s="18">
        <f t="shared" si="2"/>
        <v>0</v>
      </c>
    </row>
    <row r="35" ht="15.75" customHeight="1">
      <c r="A35" s="14"/>
      <c r="B35" s="15"/>
      <c r="C35" s="16"/>
      <c r="D35" s="17"/>
      <c r="E35" s="18">
        <f t="shared" si="1"/>
        <v>0</v>
      </c>
      <c r="F35" s="17"/>
      <c r="G35" s="18">
        <f t="shared" si="2"/>
        <v>0</v>
      </c>
    </row>
    <row r="36" ht="15.75" customHeight="1">
      <c r="A36" s="14"/>
      <c r="B36" s="15"/>
      <c r="C36" s="16"/>
      <c r="D36" s="17"/>
      <c r="E36" s="18">
        <f t="shared" si="1"/>
        <v>0</v>
      </c>
      <c r="F36" s="17"/>
      <c r="G36" s="18">
        <f t="shared" si="2"/>
        <v>0</v>
      </c>
    </row>
    <row r="37" ht="15.75" customHeight="1">
      <c r="A37" s="14"/>
      <c r="B37" s="15"/>
      <c r="C37" s="16"/>
      <c r="D37" s="17"/>
      <c r="E37" s="18">
        <f t="shared" si="1"/>
        <v>0</v>
      </c>
      <c r="F37" s="17"/>
      <c r="G37" s="18">
        <f t="shared" si="2"/>
        <v>0</v>
      </c>
    </row>
    <row r="38" ht="15.75" customHeight="1">
      <c r="A38" s="14"/>
      <c r="B38" s="15"/>
      <c r="C38" s="16"/>
      <c r="D38" s="17"/>
      <c r="E38" s="18">
        <f t="shared" si="1"/>
        <v>0</v>
      </c>
      <c r="F38" s="17"/>
      <c r="G38" s="18">
        <f t="shared" si="2"/>
        <v>0</v>
      </c>
    </row>
    <row r="39" ht="15.75" customHeight="1">
      <c r="A39" s="14"/>
      <c r="B39" s="15"/>
      <c r="C39" s="16"/>
      <c r="D39" s="17"/>
      <c r="E39" s="18">
        <f t="shared" si="1"/>
        <v>0</v>
      </c>
      <c r="F39" s="17"/>
      <c r="G39" s="18">
        <f t="shared" si="2"/>
        <v>0</v>
      </c>
    </row>
    <row r="40" ht="15.75" customHeight="1">
      <c r="A40" s="14"/>
      <c r="B40" s="15"/>
      <c r="C40" s="16"/>
      <c r="D40" s="17"/>
      <c r="E40" s="18">
        <f t="shared" si="1"/>
        <v>0</v>
      </c>
      <c r="F40" s="17"/>
      <c r="G40" s="18">
        <f t="shared" si="2"/>
        <v>0</v>
      </c>
    </row>
    <row r="41" ht="15.75" customHeight="1">
      <c r="A41" s="14"/>
      <c r="B41" s="15"/>
      <c r="C41" s="16"/>
      <c r="D41" s="17"/>
      <c r="E41" s="18">
        <f t="shared" si="1"/>
        <v>0</v>
      </c>
      <c r="F41" s="17"/>
      <c r="G41" s="18">
        <f t="shared" si="2"/>
        <v>0</v>
      </c>
    </row>
    <row r="42" ht="15.75" customHeight="1">
      <c r="A42" s="14"/>
      <c r="B42" s="15"/>
      <c r="C42" s="16"/>
      <c r="D42" s="17"/>
      <c r="E42" s="18">
        <f t="shared" si="1"/>
        <v>0</v>
      </c>
      <c r="F42" s="17"/>
      <c r="G42" s="18">
        <f t="shared" si="2"/>
        <v>0</v>
      </c>
    </row>
    <row r="43" ht="15.75" customHeight="1">
      <c r="A43" s="14"/>
      <c r="B43" s="15"/>
      <c r="C43" s="16"/>
      <c r="D43" s="17"/>
      <c r="E43" s="18">
        <f t="shared" si="1"/>
        <v>0</v>
      </c>
      <c r="F43" s="17"/>
      <c r="G43" s="18">
        <f t="shared" si="2"/>
        <v>0</v>
      </c>
    </row>
    <row r="44" ht="15.75" customHeight="1">
      <c r="A44" s="14"/>
      <c r="B44" s="15"/>
      <c r="C44" s="16"/>
      <c r="D44" s="17"/>
      <c r="E44" s="18">
        <f t="shared" si="1"/>
        <v>0</v>
      </c>
      <c r="F44" s="17"/>
      <c r="G44" s="18">
        <f t="shared" si="2"/>
        <v>0</v>
      </c>
    </row>
    <row r="45" ht="15.75" customHeight="1">
      <c r="A45" s="14"/>
      <c r="B45" s="15"/>
      <c r="C45" s="16"/>
      <c r="D45" s="17"/>
      <c r="E45" s="18">
        <f t="shared" si="1"/>
        <v>0</v>
      </c>
      <c r="F45" s="17"/>
      <c r="G45" s="18">
        <f t="shared" si="2"/>
        <v>0</v>
      </c>
    </row>
    <row r="46" ht="15.75" customHeight="1">
      <c r="A46" s="14"/>
      <c r="B46" s="15"/>
      <c r="C46" s="16"/>
      <c r="D46" s="17"/>
      <c r="E46" s="18">
        <f t="shared" si="1"/>
        <v>0</v>
      </c>
      <c r="F46" s="17"/>
      <c r="G46" s="18">
        <f t="shared" si="2"/>
        <v>0</v>
      </c>
    </row>
    <row r="47" ht="15.75" customHeight="1">
      <c r="A47" s="14"/>
      <c r="B47" s="15"/>
      <c r="C47" s="16"/>
      <c r="D47" s="17"/>
      <c r="E47" s="18">
        <f t="shared" si="1"/>
        <v>0</v>
      </c>
      <c r="F47" s="17"/>
      <c r="G47" s="18">
        <f t="shared" si="2"/>
        <v>0</v>
      </c>
    </row>
    <row r="48" ht="15.75" customHeight="1">
      <c r="A48" s="14"/>
      <c r="B48" s="15"/>
      <c r="C48" s="16"/>
      <c r="D48" s="17"/>
      <c r="E48" s="18">
        <f t="shared" si="1"/>
        <v>0</v>
      </c>
      <c r="F48" s="17"/>
      <c r="G48" s="18">
        <f t="shared" si="2"/>
        <v>0</v>
      </c>
    </row>
    <row r="49" ht="15.75" customHeight="1">
      <c r="A49" s="14"/>
      <c r="B49" s="15"/>
      <c r="C49" s="16"/>
      <c r="D49" s="17"/>
      <c r="E49" s="18">
        <f t="shared" si="1"/>
        <v>0</v>
      </c>
      <c r="F49" s="17"/>
      <c r="G49" s="18">
        <f t="shared" si="2"/>
        <v>0</v>
      </c>
    </row>
    <row r="50" ht="15.75" customHeight="1">
      <c r="A50" s="14"/>
      <c r="B50" s="15"/>
      <c r="C50" s="16"/>
      <c r="D50" s="17"/>
      <c r="E50" s="18">
        <f t="shared" si="1"/>
        <v>0</v>
      </c>
      <c r="F50" s="17"/>
      <c r="G50" s="18">
        <f t="shared" si="2"/>
        <v>0</v>
      </c>
    </row>
    <row r="51" ht="15.75" customHeight="1">
      <c r="A51" s="14"/>
      <c r="B51" s="15"/>
      <c r="C51" s="16"/>
      <c r="D51" s="17"/>
      <c r="E51" s="18">
        <f t="shared" si="1"/>
        <v>0</v>
      </c>
      <c r="F51" s="17"/>
      <c r="G51" s="18">
        <f t="shared" si="2"/>
        <v>0</v>
      </c>
    </row>
    <row r="52" ht="15.75" customHeight="1">
      <c r="A52" s="13" t="s">
        <v>44</v>
      </c>
      <c r="C52" s="16">
        <f>COUNTIF(C2:C51,"O")</f>
        <v>0</v>
      </c>
      <c r="E52" s="18">
        <f t="shared" ref="E52:G52" si="3">SUM(E2:E51)</f>
        <v>0</v>
      </c>
      <c r="F52" s="18">
        <f t="shared" si="3"/>
        <v>0</v>
      </c>
      <c r="G52" s="18">
        <f t="shared" si="3"/>
        <v>0</v>
      </c>
    </row>
    <row r="53" ht="15.75" customHeight="1">
      <c r="C53" s="16">
        <f>COUNTIF(C2:C51,"N")</f>
        <v>0</v>
      </c>
    </row>
    <row r="54" ht="15.75" customHeight="1">
      <c r="C54" s="16">
        <f>COUNTIF(C2:C51,"X")</f>
        <v>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71"/>
    <col customWidth="1" min="2" max="2" width="25.71"/>
    <col customWidth="1" min="3" max="3" width="29.14"/>
    <col customWidth="1" min="4" max="4" width="18.71"/>
    <col customWidth="1" min="5" max="7" width="22.71"/>
    <col customWidth="1" min="8" max="26" width="8.71"/>
  </cols>
  <sheetData>
    <row r="1" ht="30.0" customHeight="1">
      <c r="A1" s="19" t="s">
        <v>35</v>
      </c>
      <c r="B1" s="19" t="s">
        <v>36</v>
      </c>
      <c r="C1" s="19" t="s">
        <v>37</v>
      </c>
      <c r="D1" s="19" t="s">
        <v>38</v>
      </c>
      <c r="E1" s="19" t="s">
        <v>39</v>
      </c>
      <c r="F1" s="19" t="s">
        <v>40</v>
      </c>
      <c r="G1" s="19" t="s">
        <v>41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>
        <v>46113.0</v>
      </c>
      <c r="B2" s="22"/>
      <c r="C2" s="22"/>
      <c r="D2" s="23"/>
      <c r="E2" s="24">
        <f t="shared" ref="E2:E51" si="1">IF(C2="O",1,IF(C2="N",0.5,0))*D2</f>
        <v>0</v>
      </c>
      <c r="F2" s="23"/>
      <c r="G2" s="24">
        <f t="shared" ref="G2:G51" si="2">IF(E2=0,0,E2-F2)</f>
        <v>0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1">
        <v>46114.0</v>
      </c>
      <c r="B3" s="22"/>
      <c r="C3" s="22"/>
      <c r="D3" s="23"/>
      <c r="E3" s="24">
        <f t="shared" si="1"/>
        <v>0</v>
      </c>
      <c r="F3" s="23"/>
      <c r="G3" s="24">
        <f t="shared" si="2"/>
        <v>0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1">
        <v>46115.0</v>
      </c>
      <c r="B4" s="25" t="s">
        <v>45</v>
      </c>
      <c r="C4" s="25" t="s">
        <v>46</v>
      </c>
      <c r="D4" s="26">
        <v>2800.0</v>
      </c>
      <c r="E4" s="24">
        <f t="shared" si="1"/>
        <v>2800</v>
      </c>
      <c r="F4" s="23"/>
      <c r="G4" s="24">
        <f t="shared" si="2"/>
        <v>2800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1">
        <v>46116.0</v>
      </c>
      <c r="B5" s="25" t="s">
        <v>45</v>
      </c>
      <c r="C5" s="25" t="s">
        <v>47</v>
      </c>
      <c r="D5" s="26">
        <v>2800.0</v>
      </c>
      <c r="E5" s="24">
        <f t="shared" si="1"/>
        <v>0</v>
      </c>
      <c r="F5" s="23"/>
      <c r="G5" s="24">
        <f t="shared" si="2"/>
        <v>0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1">
        <v>46117.0</v>
      </c>
      <c r="B6" s="25" t="s">
        <v>45</v>
      </c>
      <c r="C6" s="25" t="s">
        <v>47</v>
      </c>
      <c r="D6" s="26">
        <v>2800.0</v>
      </c>
      <c r="E6" s="24">
        <f t="shared" si="1"/>
        <v>0</v>
      </c>
      <c r="F6" s="23"/>
      <c r="G6" s="24">
        <f t="shared" si="2"/>
        <v>0</v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1">
        <v>46118.0</v>
      </c>
      <c r="B7" s="25" t="s">
        <v>45</v>
      </c>
      <c r="C7" s="25" t="s">
        <v>46</v>
      </c>
      <c r="D7" s="26">
        <v>2800.0</v>
      </c>
      <c r="E7" s="24">
        <f t="shared" si="1"/>
        <v>2800</v>
      </c>
      <c r="F7" s="23"/>
      <c r="G7" s="24">
        <f t="shared" si="2"/>
        <v>2800</v>
      </c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1">
        <v>46119.0</v>
      </c>
      <c r="B8" s="25" t="s">
        <v>45</v>
      </c>
      <c r="C8" s="25" t="s">
        <v>46</v>
      </c>
      <c r="D8" s="26">
        <v>2800.0</v>
      </c>
      <c r="E8" s="24">
        <f t="shared" si="1"/>
        <v>2800</v>
      </c>
      <c r="F8" s="23"/>
      <c r="G8" s="24">
        <f t="shared" si="2"/>
        <v>2800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1">
        <v>46120.0</v>
      </c>
      <c r="B9" s="25" t="s">
        <v>45</v>
      </c>
      <c r="C9" s="25" t="s">
        <v>46</v>
      </c>
      <c r="D9" s="26">
        <v>2800.0</v>
      </c>
      <c r="E9" s="24">
        <f t="shared" si="1"/>
        <v>2800</v>
      </c>
      <c r="F9" s="23"/>
      <c r="G9" s="24">
        <f t="shared" si="2"/>
        <v>2800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1">
        <v>46121.0</v>
      </c>
      <c r="B10" s="25" t="s">
        <v>48</v>
      </c>
      <c r="C10" s="27" t="s">
        <v>46</v>
      </c>
      <c r="D10" s="26">
        <v>2800.0</v>
      </c>
      <c r="E10" s="24">
        <f t="shared" si="1"/>
        <v>2800</v>
      </c>
      <c r="F10" s="23"/>
      <c r="G10" s="24">
        <f t="shared" si="2"/>
        <v>2800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1">
        <v>46122.0</v>
      </c>
      <c r="B11" s="25" t="s">
        <v>45</v>
      </c>
      <c r="C11" s="25" t="s">
        <v>46</v>
      </c>
      <c r="D11" s="26">
        <v>2800.0</v>
      </c>
      <c r="E11" s="24">
        <f t="shared" si="1"/>
        <v>2800</v>
      </c>
      <c r="F11" s="23"/>
      <c r="G11" s="24">
        <f t="shared" si="2"/>
        <v>2800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1">
        <v>46123.0</v>
      </c>
      <c r="B12" s="25" t="s">
        <v>45</v>
      </c>
      <c r="C12" s="25" t="s">
        <v>49</v>
      </c>
      <c r="D12" s="26">
        <v>2800.0</v>
      </c>
      <c r="E12" s="24">
        <f t="shared" si="1"/>
        <v>1400</v>
      </c>
      <c r="F12" s="23"/>
      <c r="G12" s="24">
        <f t="shared" si="2"/>
        <v>1400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1">
        <v>46124.0</v>
      </c>
      <c r="B13" s="22"/>
      <c r="C13" s="22"/>
      <c r="D13" s="23"/>
      <c r="E13" s="24">
        <f t="shared" si="1"/>
        <v>0</v>
      </c>
      <c r="F13" s="23"/>
      <c r="G13" s="24">
        <f t="shared" si="2"/>
        <v>0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1">
        <v>46125.0</v>
      </c>
      <c r="B14" s="22"/>
      <c r="C14" s="22"/>
      <c r="D14" s="23"/>
      <c r="E14" s="24">
        <f t="shared" si="1"/>
        <v>0</v>
      </c>
      <c r="F14" s="23"/>
      <c r="G14" s="24">
        <f t="shared" si="2"/>
        <v>0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1">
        <v>46126.0</v>
      </c>
      <c r="B15" s="22"/>
      <c r="C15" s="22"/>
      <c r="D15" s="23"/>
      <c r="E15" s="24">
        <f t="shared" si="1"/>
        <v>0</v>
      </c>
      <c r="F15" s="23"/>
      <c r="G15" s="24">
        <f t="shared" si="2"/>
        <v>0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1">
        <v>46127.0</v>
      </c>
      <c r="B16" s="22"/>
      <c r="C16" s="22"/>
      <c r="D16" s="23"/>
      <c r="E16" s="24">
        <f t="shared" si="1"/>
        <v>0</v>
      </c>
      <c r="F16" s="23"/>
      <c r="G16" s="24">
        <f t="shared" si="2"/>
        <v>0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1">
        <v>46128.0</v>
      </c>
      <c r="B17" s="22"/>
      <c r="C17" s="22"/>
      <c r="D17" s="23"/>
      <c r="E17" s="24">
        <f t="shared" si="1"/>
        <v>0</v>
      </c>
      <c r="F17" s="23"/>
      <c r="G17" s="24">
        <f t="shared" si="2"/>
        <v>0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1">
        <v>46129.0</v>
      </c>
      <c r="B18" s="22"/>
      <c r="C18" s="22"/>
      <c r="D18" s="23"/>
      <c r="E18" s="24">
        <f t="shared" si="1"/>
        <v>0</v>
      </c>
      <c r="F18" s="23"/>
      <c r="G18" s="24">
        <f t="shared" si="2"/>
        <v>0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1">
        <v>46130.0</v>
      </c>
      <c r="B19" s="22"/>
      <c r="C19" s="22"/>
      <c r="D19" s="23"/>
      <c r="E19" s="24">
        <f t="shared" si="1"/>
        <v>0</v>
      </c>
      <c r="F19" s="23"/>
      <c r="G19" s="24">
        <f t="shared" si="2"/>
        <v>0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1">
        <v>46131.0</v>
      </c>
      <c r="B20" s="22"/>
      <c r="C20" s="22"/>
      <c r="D20" s="23"/>
      <c r="E20" s="24">
        <f t="shared" si="1"/>
        <v>0</v>
      </c>
      <c r="F20" s="23"/>
      <c r="G20" s="24">
        <f t="shared" si="2"/>
        <v>0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5.75" customHeight="1">
      <c r="A21" s="21">
        <v>46132.0</v>
      </c>
      <c r="B21" s="22"/>
      <c r="C21" s="22"/>
      <c r="D21" s="23"/>
      <c r="E21" s="24">
        <f t="shared" si="1"/>
        <v>0</v>
      </c>
      <c r="F21" s="23"/>
      <c r="G21" s="24">
        <f t="shared" si="2"/>
        <v>0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5.75" customHeight="1">
      <c r="A22" s="21">
        <v>46133.0</v>
      </c>
      <c r="B22" s="22"/>
      <c r="C22" s="22"/>
      <c r="D22" s="23"/>
      <c r="E22" s="24">
        <f t="shared" si="1"/>
        <v>0</v>
      </c>
      <c r="F22" s="23"/>
      <c r="G22" s="24">
        <f t="shared" si="2"/>
        <v>0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5.75" customHeight="1">
      <c r="A23" s="21">
        <v>46134.0</v>
      </c>
      <c r="B23" s="22"/>
      <c r="C23" s="22"/>
      <c r="D23" s="23"/>
      <c r="E23" s="24">
        <f t="shared" si="1"/>
        <v>0</v>
      </c>
      <c r="F23" s="23"/>
      <c r="G23" s="24">
        <f t="shared" si="2"/>
        <v>0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5.75" customHeight="1">
      <c r="A24" s="21">
        <v>46135.0</v>
      </c>
      <c r="B24" s="22"/>
      <c r="C24" s="22"/>
      <c r="D24" s="23"/>
      <c r="E24" s="24">
        <f t="shared" si="1"/>
        <v>0</v>
      </c>
      <c r="F24" s="23"/>
      <c r="G24" s="24">
        <f t="shared" si="2"/>
        <v>0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5.75" customHeight="1">
      <c r="A25" s="21">
        <v>46136.0</v>
      </c>
      <c r="B25" s="22"/>
      <c r="C25" s="22"/>
      <c r="D25" s="23"/>
      <c r="E25" s="24">
        <f t="shared" si="1"/>
        <v>0</v>
      </c>
      <c r="F25" s="23"/>
      <c r="G25" s="24">
        <f t="shared" si="2"/>
        <v>0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5.75" customHeight="1">
      <c r="A26" s="21">
        <v>46137.0</v>
      </c>
      <c r="B26" s="22"/>
      <c r="C26" s="22"/>
      <c r="D26" s="23"/>
      <c r="E26" s="24">
        <f t="shared" si="1"/>
        <v>0</v>
      </c>
      <c r="F26" s="23"/>
      <c r="G26" s="24">
        <f t="shared" si="2"/>
        <v>0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5.75" customHeight="1">
      <c r="A27" s="21">
        <v>46138.0</v>
      </c>
      <c r="B27" s="22"/>
      <c r="C27" s="22"/>
      <c r="D27" s="23"/>
      <c r="E27" s="24">
        <f t="shared" si="1"/>
        <v>0</v>
      </c>
      <c r="F27" s="23"/>
      <c r="G27" s="24">
        <f t="shared" si="2"/>
        <v>0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5.75" customHeight="1">
      <c r="A28" s="21">
        <v>46139.0</v>
      </c>
      <c r="B28" s="22"/>
      <c r="C28" s="22"/>
      <c r="D28" s="23"/>
      <c r="E28" s="24">
        <f t="shared" si="1"/>
        <v>0</v>
      </c>
      <c r="F28" s="23"/>
      <c r="G28" s="24">
        <f t="shared" si="2"/>
        <v>0</v>
      </c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5.75" customHeight="1">
      <c r="A29" s="21">
        <v>46140.0</v>
      </c>
      <c r="B29" s="22"/>
      <c r="C29" s="22"/>
      <c r="D29" s="23"/>
      <c r="E29" s="24">
        <f t="shared" si="1"/>
        <v>0</v>
      </c>
      <c r="F29" s="23"/>
      <c r="G29" s="24">
        <f t="shared" si="2"/>
        <v>0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5.75" customHeight="1">
      <c r="A30" s="21">
        <v>46141.0</v>
      </c>
      <c r="B30" s="22"/>
      <c r="C30" s="22"/>
      <c r="D30" s="23"/>
      <c r="E30" s="24">
        <f t="shared" si="1"/>
        <v>0</v>
      </c>
      <c r="F30" s="23"/>
      <c r="G30" s="24">
        <f t="shared" si="2"/>
        <v>0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5.75" customHeight="1">
      <c r="A31" s="21">
        <v>46142.0</v>
      </c>
      <c r="B31" s="22"/>
      <c r="C31" s="22"/>
      <c r="D31" s="23"/>
      <c r="E31" s="24">
        <f t="shared" si="1"/>
        <v>0</v>
      </c>
      <c r="F31" s="23"/>
      <c r="G31" s="24">
        <f t="shared" si="2"/>
        <v>0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21"/>
      <c r="B32" s="22"/>
      <c r="C32" s="22"/>
      <c r="D32" s="23"/>
      <c r="E32" s="24">
        <f t="shared" si="1"/>
        <v>0</v>
      </c>
      <c r="F32" s="23"/>
      <c r="G32" s="24">
        <f t="shared" si="2"/>
        <v>0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75" customHeight="1">
      <c r="A33" s="21"/>
      <c r="B33" s="22"/>
      <c r="C33" s="22"/>
      <c r="D33" s="23"/>
      <c r="E33" s="24">
        <f t="shared" si="1"/>
        <v>0</v>
      </c>
      <c r="F33" s="23"/>
      <c r="G33" s="24">
        <f t="shared" si="2"/>
        <v>0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customHeight="1">
      <c r="A34" s="21"/>
      <c r="B34" s="22"/>
      <c r="C34" s="22"/>
      <c r="D34" s="23"/>
      <c r="E34" s="24">
        <f t="shared" si="1"/>
        <v>0</v>
      </c>
      <c r="F34" s="23"/>
      <c r="G34" s="24">
        <f t="shared" si="2"/>
        <v>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5.75" customHeight="1">
      <c r="A35" s="21"/>
      <c r="B35" s="22"/>
      <c r="C35" s="22"/>
      <c r="D35" s="23"/>
      <c r="E35" s="24">
        <f t="shared" si="1"/>
        <v>0</v>
      </c>
      <c r="F35" s="23"/>
      <c r="G35" s="24">
        <f t="shared" si="2"/>
        <v>0</v>
      </c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5.75" customHeight="1">
      <c r="A36" s="21"/>
      <c r="B36" s="22"/>
      <c r="C36" s="22"/>
      <c r="D36" s="23"/>
      <c r="E36" s="24">
        <f t="shared" si="1"/>
        <v>0</v>
      </c>
      <c r="F36" s="23"/>
      <c r="G36" s="24">
        <f t="shared" si="2"/>
        <v>0</v>
      </c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5.75" customHeight="1">
      <c r="A37" s="21"/>
      <c r="B37" s="22"/>
      <c r="C37" s="22"/>
      <c r="D37" s="23"/>
      <c r="E37" s="24">
        <f t="shared" si="1"/>
        <v>0</v>
      </c>
      <c r="F37" s="23"/>
      <c r="G37" s="24">
        <f t="shared" si="2"/>
        <v>0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5.75" customHeight="1">
      <c r="A38" s="21"/>
      <c r="B38" s="22"/>
      <c r="C38" s="22"/>
      <c r="D38" s="23"/>
      <c r="E38" s="24">
        <f t="shared" si="1"/>
        <v>0</v>
      </c>
      <c r="F38" s="23"/>
      <c r="G38" s="24">
        <f t="shared" si="2"/>
        <v>0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5.75" customHeight="1">
      <c r="A39" s="21"/>
      <c r="B39" s="22"/>
      <c r="C39" s="22"/>
      <c r="D39" s="23"/>
      <c r="E39" s="24">
        <f t="shared" si="1"/>
        <v>0</v>
      </c>
      <c r="F39" s="23"/>
      <c r="G39" s="24">
        <f t="shared" si="2"/>
        <v>0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5.75" customHeight="1">
      <c r="A40" s="21"/>
      <c r="B40" s="22"/>
      <c r="C40" s="22"/>
      <c r="D40" s="23"/>
      <c r="E40" s="24">
        <f t="shared" si="1"/>
        <v>0</v>
      </c>
      <c r="F40" s="23"/>
      <c r="G40" s="24">
        <f t="shared" si="2"/>
        <v>0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5.75" customHeight="1">
      <c r="A41" s="21"/>
      <c r="B41" s="22"/>
      <c r="C41" s="22"/>
      <c r="D41" s="23"/>
      <c r="E41" s="24">
        <f t="shared" si="1"/>
        <v>0</v>
      </c>
      <c r="F41" s="23"/>
      <c r="G41" s="24">
        <f t="shared" si="2"/>
        <v>0</v>
      </c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5.75" customHeight="1">
      <c r="A42" s="21"/>
      <c r="B42" s="22"/>
      <c r="C42" s="22"/>
      <c r="D42" s="23"/>
      <c r="E42" s="24">
        <f t="shared" si="1"/>
        <v>0</v>
      </c>
      <c r="F42" s="23"/>
      <c r="G42" s="24">
        <f t="shared" si="2"/>
        <v>0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5.75" customHeight="1">
      <c r="A43" s="21"/>
      <c r="B43" s="22"/>
      <c r="C43" s="22"/>
      <c r="D43" s="23"/>
      <c r="E43" s="24">
        <f t="shared" si="1"/>
        <v>0</v>
      </c>
      <c r="F43" s="23"/>
      <c r="G43" s="24">
        <f t="shared" si="2"/>
        <v>0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5.75" customHeight="1">
      <c r="A44" s="21"/>
      <c r="B44" s="22"/>
      <c r="C44" s="22"/>
      <c r="D44" s="23"/>
      <c r="E44" s="24">
        <f t="shared" si="1"/>
        <v>0</v>
      </c>
      <c r="F44" s="23"/>
      <c r="G44" s="24">
        <f t="shared" si="2"/>
        <v>0</v>
      </c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5.75" customHeight="1">
      <c r="A45" s="21"/>
      <c r="B45" s="22"/>
      <c r="C45" s="22"/>
      <c r="D45" s="23"/>
      <c r="E45" s="24">
        <f t="shared" si="1"/>
        <v>0</v>
      </c>
      <c r="F45" s="23"/>
      <c r="G45" s="24">
        <f t="shared" si="2"/>
        <v>0</v>
      </c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5.75" customHeight="1">
      <c r="A46" s="21"/>
      <c r="B46" s="22"/>
      <c r="C46" s="22"/>
      <c r="D46" s="23"/>
      <c r="E46" s="24">
        <f t="shared" si="1"/>
        <v>0</v>
      </c>
      <c r="F46" s="23"/>
      <c r="G46" s="24">
        <f t="shared" si="2"/>
        <v>0</v>
      </c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5.75" customHeight="1">
      <c r="A47" s="21"/>
      <c r="B47" s="22"/>
      <c r="C47" s="22"/>
      <c r="D47" s="23"/>
      <c r="E47" s="24">
        <f t="shared" si="1"/>
        <v>0</v>
      </c>
      <c r="F47" s="23"/>
      <c r="G47" s="24">
        <f t="shared" si="2"/>
        <v>0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5.75" customHeight="1">
      <c r="A48" s="21"/>
      <c r="B48" s="22"/>
      <c r="C48" s="22"/>
      <c r="D48" s="23"/>
      <c r="E48" s="24">
        <f t="shared" si="1"/>
        <v>0</v>
      </c>
      <c r="F48" s="23"/>
      <c r="G48" s="24">
        <f t="shared" si="2"/>
        <v>0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5.75" customHeight="1">
      <c r="A49" s="21"/>
      <c r="B49" s="22"/>
      <c r="C49" s="22"/>
      <c r="D49" s="23"/>
      <c r="E49" s="24">
        <f t="shared" si="1"/>
        <v>0</v>
      </c>
      <c r="F49" s="23"/>
      <c r="G49" s="24">
        <f t="shared" si="2"/>
        <v>0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A50" s="21"/>
      <c r="B50" s="22"/>
      <c r="C50" s="22"/>
      <c r="D50" s="23"/>
      <c r="E50" s="24">
        <f t="shared" si="1"/>
        <v>0</v>
      </c>
      <c r="F50" s="23"/>
      <c r="G50" s="24">
        <f t="shared" si="2"/>
        <v>0</v>
      </c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21"/>
      <c r="B51" s="22"/>
      <c r="C51" s="22"/>
      <c r="D51" s="23"/>
      <c r="E51" s="24">
        <f t="shared" si="1"/>
        <v>0</v>
      </c>
      <c r="F51" s="23"/>
      <c r="G51" s="24">
        <f t="shared" si="2"/>
        <v>0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5.75" customHeight="1">
      <c r="A52" s="19" t="s">
        <v>50</v>
      </c>
      <c r="B52" s="20"/>
      <c r="C52" s="22">
        <f>COUNTIF(C2:C51,"O")</f>
        <v>6</v>
      </c>
      <c r="D52" s="20"/>
      <c r="E52" s="24">
        <f t="shared" ref="E52:G52" si="3">SUM(E2:E51)</f>
        <v>18200</v>
      </c>
      <c r="F52" s="24">
        <f t="shared" si="3"/>
        <v>0</v>
      </c>
      <c r="G52" s="24">
        <f t="shared" si="3"/>
        <v>18200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20"/>
      <c r="B53" s="20"/>
      <c r="C53" s="22">
        <f>COUNTIF(C2:C51,"N")</f>
        <v>1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20"/>
      <c r="B54" s="20"/>
      <c r="C54" s="22">
        <f>COUNTIF(C2:C51,"X")</f>
        <v>2</v>
      </c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71"/>
    <col customWidth="1" min="2" max="2" width="25.71"/>
    <col customWidth="1" min="3" max="3" width="22.71"/>
    <col customWidth="1" min="4" max="4" width="18.71"/>
    <col customWidth="1" min="5" max="7" width="22.71"/>
    <col customWidth="1" min="8" max="26" width="8.71"/>
  </cols>
  <sheetData>
    <row r="1" ht="30.0" customHeight="1">
      <c r="A1" s="13" t="s">
        <v>35</v>
      </c>
      <c r="B1" s="13" t="s">
        <v>36</v>
      </c>
      <c r="C1" s="13" t="s">
        <v>37</v>
      </c>
      <c r="D1" s="13" t="s">
        <v>38</v>
      </c>
      <c r="E1" s="13" t="s">
        <v>39</v>
      </c>
      <c r="F1" s="13" t="s">
        <v>40</v>
      </c>
      <c r="G1" s="13" t="s">
        <v>41</v>
      </c>
    </row>
    <row r="2">
      <c r="A2" s="14"/>
      <c r="B2" s="15"/>
      <c r="C2" s="16"/>
      <c r="D2" s="17"/>
      <c r="E2" s="18">
        <f t="shared" ref="E2:E51" si="1">IF(C2="O",1,IF(C2="N",0.5,0))*D2</f>
        <v>0</v>
      </c>
      <c r="F2" s="17"/>
      <c r="G2" s="18">
        <f t="shared" ref="G2:G51" si="2">IF(E2=0,0,E2-F2)</f>
        <v>0</v>
      </c>
    </row>
    <row r="3">
      <c r="A3" s="14"/>
      <c r="B3" s="15"/>
      <c r="C3" s="16"/>
      <c r="D3" s="17"/>
      <c r="E3" s="18">
        <f t="shared" si="1"/>
        <v>0</v>
      </c>
      <c r="F3" s="17"/>
      <c r="G3" s="18">
        <f t="shared" si="2"/>
        <v>0</v>
      </c>
    </row>
    <row r="4">
      <c r="A4" s="14"/>
      <c r="B4" s="15"/>
      <c r="C4" s="16"/>
      <c r="D4" s="17"/>
      <c r="E4" s="18">
        <f t="shared" si="1"/>
        <v>0</v>
      </c>
      <c r="F4" s="17"/>
      <c r="G4" s="18">
        <f t="shared" si="2"/>
        <v>0</v>
      </c>
    </row>
    <row r="5">
      <c r="A5" s="14"/>
      <c r="B5" s="15"/>
      <c r="C5" s="16"/>
      <c r="D5" s="17"/>
      <c r="E5" s="18">
        <f t="shared" si="1"/>
        <v>0</v>
      </c>
      <c r="F5" s="17"/>
      <c r="G5" s="18">
        <f t="shared" si="2"/>
        <v>0</v>
      </c>
    </row>
    <row r="6">
      <c r="A6" s="14"/>
      <c r="B6" s="15"/>
      <c r="C6" s="16"/>
      <c r="D6" s="17"/>
      <c r="E6" s="18">
        <f t="shared" si="1"/>
        <v>0</v>
      </c>
      <c r="F6" s="17"/>
      <c r="G6" s="18">
        <f t="shared" si="2"/>
        <v>0</v>
      </c>
    </row>
    <row r="7">
      <c r="A7" s="14"/>
      <c r="B7" s="15"/>
      <c r="C7" s="16"/>
      <c r="D7" s="17"/>
      <c r="E7" s="18">
        <f t="shared" si="1"/>
        <v>0</v>
      </c>
      <c r="F7" s="17"/>
      <c r="G7" s="18">
        <f t="shared" si="2"/>
        <v>0</v>
      </c>
    </row>
    <row r="8">
      <c r="A8" s="14"/>
      <c r="B8" s="15"/>
      <c r="C8" s="16"/>
      <c r="D8" s="17"/>
      <c r="E8" s="18">
        <f t="shared" si="1"/>
        <v>0</v>
      </c>
      <c r="F8" s="17"/>
      <c r="G8" s="18">
        <f t="shared" si="2"/>
        <v>0</v>
      </c>
    </row>
    <row r="9">
      <c r="A9" s="14"/>
      <c r="B9" s="15"/>
      <c r="C9" s="16"/>
      <c r="D9" s="17"/>
      <c r="E9" s="18">
        <f t="shared" si="1"/>
        <v>0</v>
      </c>
      <c r="F9" s="17"/>
      <c r="G9" s="18">
        <f t="shared" si="2"/>
        <v>0</v>
      </c>
    </row>
    <row r="10">
      <c r="A10" s="14"/>
      <c r="B10" s="15"/>
      <c r="C10" s="16"/>
      <c r="D10" s="17"/>
      <c r="E10" s="18">
        <f t="shared" si="1"/>
        <v>0</v>
      </c>
      <c r="F10" s="17"/>
      <c r="G10" s="18">
        <f t="shared" si="2"/>
        <v>0</v>
      </c>
    </row>
    <row r="11">
      <c r="A11" s="14"/>
      <c r="B11" s="15"/>
      <c r="C11" s="16"/>
      <c r="D11" s="17"/>
      <c r="E11" s="18">
        <f t="shared" si="1"/>
        <v>0</v>
      </c>
      <c r="F11" s="17"/>
      <c r="G11" s="18">
        <f t="shared" si="2"/>
        <v>0</v>
      </c>
    </row>
    <row r="12">
      <c r="A12" s="14"/>
      <c r="B12" s="15"/>
      <c r="C12" s="16"/>
      <c r="D12" s="17"/>
      <c r="E12" s="18">
        <f t="shared" si="1"/>
        <v>0</v>
      </c>
      <c r="F12" s="17"/>
      <c r="G12" s="18">
        <f t="shared" si="2"/>
        <v>0</v>
      </c>
    </row>
    <row r="13">
      <c r="A13" s="14"/>
      <c r="B13" s="15"/>
      <c r="C13" s="16"/>
      <c r="D13" s="17"/>
      <c r="E13" s="18">
        <f t="shared" si="1"/>
        <v>0</v>
      </c>
      <c r="F13" s="17"/>
      <c r="G13" s="18">
        <f t="shared" si="2"/>
        <v>0</v>
      </c>
    </row>
    <row r="14">
      <c r="A14" s="14"/>
      <c r="B14" s="15"/>
      <c r="C14" s="16"/>
      <c r="D14" s="17"/>
      <c r="E14" s="18">
        <f t="shared" si="1"/>
        <v>0</v>
      </c>
      <c r="F14" s="17"/>
      <c r="G14" s="18">
        <f t="shared" si="2"/>
        <v>0</v>
      </c>
    </row>
    <row r="15">
      <c r="A15" s="14"/>
      <c r="B15" s="15"/>
      <c r="C15" s="16"/>
      <c r="D15" s="17"/>
      <c r="E15" s="18">
        <f t="shared" si="1"/>
        <v>0</v>
      </c>
      <c r="F15" s="17"/>
      <c r="G15" s="18">
        <f t="shared" si="2"/>
        <v>0</v>
      </c>
    </row>
    <row r="16">
      <c r="A16" s="14"/>
      <c r="B16" s="15"/>
      <c r="C16" s="16"/>
      <c r="D16" s="17"/>
      <c r="E16" s="18">
        <f t="shared" si="1"/>
        <v>0</v>
      </c>
      <c r="F16" s="17"/>
      <c r="G16" s="18">
        <f t="shared" si="2"/>
        <v>0</v>
      </c>
    </row>
    <row r="17">
      <c r="A17" s="14"/>
      <c r="B17" s="15"/>
      <c r="C17" s="16"/>
      <c r="D17" s="17"/>
      <c r="E17" s="18">
        <f t="shared" si="1"/>
        <v>0</v>
      </c>
      <c r="F17" s="17"/>
      <c r="G17" s="18">
        <f t="shared" si="2"/>
        <v>0</v>
      </c>
    </row>
    <row r="18">
      <c r="A18" s="14"/>
      <c r="B18" s="15"/>
      <c r="C18" s="16"/>
      <c r="D18" s="17"/>
      <c r="E18" s="18">
        <f t="shared" si="1"/>
        <v>0</v>
      </c>
      <c r="F18" s="17"/>
      <c r="G18" s="18">
        <f t="shared" si="2"/>
        <v>0</v>
      </c>
    </row>
    <row r="19">
      <c r="A19" s="14"/>
      <c r="B19" s="15"/>
      <c r="C19" s="16"/>
      <c r="D19" s="17"/>
      <c r="E19" s="18">
        <f t="shared" si="1"/>
        <v>0</v>
      </c>
      <c r="F19" s="17"/>
      <c r="G19" s="18">
        <f t="shared" si="2"/>
        <v>0</v>
      </c>
    </row>
    <row r="20">
      <c r="A20" s="14"/>
      <c r="B20" s="15"/>
      <c r="C20" s="16"/>
      <c r="D20" s="17"/>
      <c r="E20" s="18">
        <f t="shared" si="1"/>
        <v>0</v>
      </c>
      <c r="F20" s="17"/>
      <c r="G20" s="18">
        <f t="shared" si="2"/>
        <v>0</v>
      </c>
    </row>
    <row r="21" ht="15.75" customHeight="1">
      <c r="A21" s="14"/>
      <c r="B21" s="15"/>
      <c r="C21" s="16"/>
      <c r="D21" s="17"/>
      <c r="E21" s="18">
        <f t="shared" si="1"/>
        <v>0</v>
      </c>
      <c r="F21" s="17"/>
      <c r="G21" s="18">
        <f t="shared" si="2"/>
        <v>0</v>
      </c>
    </row>
    <row r="22" ht="15.75" customHeight="1">
      <c r="A22" s="14"/>
      <c r="B22" s="15"/>
      <c r="C22" s="16"/>
      <c r="D22" s="17"/>
      <c r="E22" s="18">
        <f t="shared" si="1"/>
        <v>0</v>
      </c>
      <c r="F22" s="17"/>
      <c r="G22" s="18">
        <f t="shared" si="2"/>
        <v>0</v>
      </c>
    </row>
    <row r="23" ht="15.75" customHeight="1">
      <c r="A23" s="14"/>
      <c r="B23" s="15"/>
      <c r="C23" s="16"/>
      <c r="D23" s="17"/>
      <c r="E23" s="18">
        <f t="shared" si="1"/>
        <v>0</v>
      </c>
      <c r="F23" s="17"/>
      <c r="G23" s="18">
        <f t="shared" si="2"/>
        <v>0</v>
      </c>
    </row>
    <row r="24" ht="15.75" customHeight="1">
      <c r="A24" s="14"/>
      <c r="B24" s="15"/>
      <c r="C24" s="16"/>
      <c r="D24" s="17"/>
      <c r="E24" s="18">
        <f t="shared" si="1"/>
        <v>0</v>
      </c>
      <c r="F24" s="17"/>
      <c r="G24" s="18">
        <f t="shared" si="2"/>
        <v>0</v>
      </c>
    </row>
    <row r="25" ht="15.75" customHeight="1">
      <c r="A25" s="14"/>
      <c r="B25" s="15"/>
      <c r="C25" s="16"/>
      <c r="D25" s="17"/>
      <c r="E25" s="18">
        <f t="shared" si="1"/>
        <v>0</v>
      </c>
      <c r="F25" s="17"/>
      <c r="G25" s="18">
        <f t="shared" si="2"/>
        <v>0</v>
      </c>
    </row>
    <row r="26" ht="15.75" customHeight="1">
      <c r="A26" s="14"/>
      <c r="B26" s="15"/>
      <c r="C26" s="16"/>
      <c r="D26" s="17"/>
      <c r="E26" s="18">
        <f t="shared" si="1"/>
        <v>0</v>
      </c>
      <c r="F26" s="17"/>
      <c r="G26" s="18">
        <f t="shared" si="2"/>
        <v>0</v>
      </c>
    </row>
    <row r="27" ht="15.75" customHeight="1">
      <c r="A27" s="14"/>
      <c r="B27" s="15"/>
      <c r="C27" s="16"/>
      <c r="D27" s="17"/>
      <c r="E27" s="18">
        <f t="shared" si="1"/>
        <v>0</v>
      </c>
      <c r="F27" s="17"/>
      <c r="G27" s="18">
        <f t="shared" si="2"/>
        <v>0</v>
      </c>
    </row>
    <row r="28" ht="15.75" customHeight="1">
      <c r="A28" s="14"/>
      <c r="B28" s="15"/>
      <c r="C28" s="16"/>
      <c r="D28" s="17"/>
      <c r="E28" s="18">
        <f t="shared" si="1"/>
        <v>0</v>
      </c>
      <c r="F28" s="17"/>
      <c r="G28" s="18">
        <f t="shared" si="2"/>
        <v>0</v>
      </c>
    </row>
    <row r="29" ht="15.75" customHeight="1">
      <c r="A29" s="14"/>
      <c r="B29" s="15"/>
      <c r="C29" s="16"/>
      <c r="D29" s="17"/>
      <c r="E29" s="18">
        <f t="shared" si="1"/>
        <v>0</v>
      </c>
      <c r="F29" s="17"/>
      <c r="G29" s="18">
        <f t="shared" si="2"/>
        <v>0</v>
      </c>
    </row>
    <row r="30" ht="15.75" customHeight="1">
      <c r="A30" s="14"/>
      <c r="B30" s="15"/>
      <c r="C30" s="16"/>
      <c r="D30" s="17"/>
      <c r="E30" s="18">
        <f t="shared" si="1"/>
        <v>0</v>
      </c>
      <c r="F30" s="17"/>
      <c r="G30" s="18">
        <f t="shared" si="2"/>
        <v>0</v>
      </c>
    </row>
    <row r="31" ht="15.75" customHeight="1">
      <c r="A31" s="14"/>
      <c r="B31" s="15"/>
      <c r="C31" s="16"/>
      <c r="D31" s="17"/>
      <c r="E31" s="18">
        <f t="shared" si="1"/>
        <v>0</v>
      </c>
      <c r="F31" s="17"/>
      <c r="G31" s="18">
        <f t="shared" si="2"/>
        <v>0</v>
      </c>
    </row>
    <row r="32" ht="15.75" customHeight="1">
      <c r="A32" s="14"/>
      <c r="B32" s="15"/>
      <c r="C32" s="16"/>
      <c r="D32" s="17"/>
      <c r="E32" s="18">
        <f t="shared" si="1"/>
        <v>0</v>
      </c>
      <c r="F32" s="17"/>
      <c r="G32" s="18">
        <f t="shared" si="2"/>
        <v>0</v>
      </c>
    </row>
    <row r="33" ht="15.75" customHeight="1">
      <c r="A33" s="14"/>
      <c r="B33" s="15"/>
      <c r="C33" s="16"/>
      <c r="D33" s="17"/>
      <c r="E33" s="18">
        <f t="shared" si="1"/>
        <v>0</v>
      </c>
      <c r="F33" s="17"/>
      <c r="G33" s="18">
        <f t="shared" si="2"/>
        <v>0</v>
      </c>
    </row>
    <row r="34" ht="15.75" customHeight="1">
      <c r="A34" s="14"/>
      <c r="B34" s="15"/>
      <c r="C34" s="16"/>
      <c r="D34" s="17"/>
      <c r="E34" s="18">
        <f t="shared" si="1"/>
        <v>0</v>
      </c>
      <c r="F34" s="17"/>
      <c r="G34" s="18">
        <f t="shared" si="2"/>
        <v>0</v>
      </c>
    </row>
    <row r="35" ht="15.75" customHeight="1">
      <c r="A35" s="14"/>
      <c r="B35" s="15"/>
      <c r="C35" s="16"/>
      <c r="D35" s="17"/>
      <c r="E35" s="18">
        <f t="shared" si="1"/>
        <v>0</v>
      </c>
      <c r="F35" s="17"/>
      <c r="G35" s="18">
        <f t="shared" si="2"/>
        <v>0</v>
      </c>
    </row>
    <row r="36" ht="15.75" customHeight="1">
      <c r="A36" s="14"/>
      <c r="B36" s="15"/>
      <c r="C36" s="16"/>
      <c r="D36" s="17"/>
      <c r="E36" s="18">
        <f t="shared" si="1"/>
        <v>0</v>
      </c>
      <c r="F36" s="17"/>
      <c r="G36" s="18">
        <f t="shared" si="2"/>
        <v>0</v>
      </c>
    </row>
    <row r="37" ht="15.75" customHeight="1">
      <c r="A37" s="14"/>
      <c r="B37" s="15"/>
      <c r="C37" s="16"/>
      <c r="D37" s="17"/>
      <c r="E37" s="18">
        <f t="shared" si="1"/>
        <v>0</v>
      </c>
      <c r="F37" s="17"/>
      <c r="G37" s="18">
        <f t="shared" si="2"/>
        <v>0</v>
      </c>
    </row>
    <row r="38" ht="15.75" customHeight="1">
      <c r="A38" s="14"/>
      <c r="B38" s="15"/>
      <c r="C38" s="16"/>
      <c r="D38" s="17"/>
      <c r="E38" s="18">
        <f t="shared" si="1"/>
        <v>0</v>
      </c>
      <c r="F38" s="17"/>
      <c r="G38" s="18">
        <f t="shared" si="2"/>
        <v>0</v>
      </c>
    </row>
    <row r="39" ht="15.75" customHeight="1">
      <c r="A39" s="14"/>
      <c r="B39" s="15"/>
      <c r="C39" s="16"/>
      <c r="D39" s="17"/>
      <c r="E39" s="18">
        <f t="shared" si="1"/>
        <v>0</v>
      </c>
      <c r="F39" s="17"/>
      <c r="G39" s="18">
        <f t="shared" si="2"/>
        <v>0</v>
      </c>
    </row>
    <row r="40" ht="15.75" customHeight="1">
      <c r="A40" s="14"/>
      <c r="B40" s="15"/>
      <c r="C40" s="16"/>
      <c r="D40" s="17"/>
      <c r="E40" s="18">
        <f t="shared" si="1"/>
        <v>0</v>
      </c>
      <c r="F40" s="17"/>
      <c r="G40" s="18">
        <f t="shared" si="2"/>
        <v>0</v>
      </c>
    </row>
    <row r="41" ht="15.75" customHeight="1">
      <c r="A41" s="14"/>
      <c r="B41" s="15"/>
      <c r="C41" s="16"/>
      <c r="D41" s="17"/>
      <c r="E41" s="18">
        <f t="shared" si="1"/>
        <v>0</v>
      </c>
      <c r="F41" s="17"/>
      <c r="G41" s="18">
        <f t="shared" si="2"/>
        <v>0</v>
      </c>
    </row>
    <row r="42" ht="15.75" customHeight="1">
      <c r="A42" s="14"/>
      <c r="B42" s="15"/>
      <c r="C42" s="16"/>
      <c r="D42" s="17"/>
      <c r="E42" s="18">
        <f t="shared" si="1"/>
        <v>0</v>
      </c>
      <c r="F42" s="17"/>
      <c r="G42" s="18">
        <f t="shared" si="2"/>
        <v>0</v>
      </c>
    </row>
    <row r="43" ht="15.75" customHeight="1">
      <c r="A43" s="14"/>
      <c r="B43" s="15"/>
      <c r="C43" s="16"/>
      <c r="D43" s="17"/>
      <c r="E43" s="18">
        <f t="shared" si="1"/>
        <v>0</v>
      </c>
      <c r="F43" s="17"/>
      <c r="G43" s="18">
        <f t="shared" si="2"/>
        <v>0</v>
      </c>
    </row>
    <row r="44" ht="15.75" customHeight="1">
      <c r="A44" s="14"/>
      <c r="B44" s="15"/>
      <c r="C44" s="16"/>
      <c r="D44" s="17"/>
      <c r="E44" s="18">
        <f t="shared" si="1"/>
        <v>0</v>
      </c>
      <c r="F44" s="17"/>
      <c r="G44" s="18">
        <f t="shared" si="2"/>
        <v>0</v>
      </c>
    </row>
    <row r="45" ht="15.75" customHeight="1">
      <c r="A45" s="14"/>
      <c r="B45" s="15"/>
      <c r="C45" s="16"/>
      <c r="D45" s="17"/>
      <c r="E45" s="18">
        <f t="shared" si="1"/>
        <v>0</v>
      </c>
      <c r="F45" s="17"/>
      <c r="G45" s="18">
        <f t="shared" si="2"/>
        <v>0</v>
      </c>
    </row>
    <row r="46" ht="15.75" customHeight="1">
      <c r="A46" s="14"/>
      <c r="B46" s="15"/>
      <c r="C46" s="16"/>
      <c r="D46" s="17"/>
      <c r="E46" s="18">
        <f t="shared" si="1"/>
        <v>0</v>
      </c>
      <c r="F46" s="17"/>
      <c r="G46" s="18">
        <f t="shared" si="2"/>
        <v>0</v>
      </c>
    </row>
    <row r="47" ht="15.75" customHeight="1">
      <c r="A47" s="14"/>
      <c r="B47" s="15"/>
      <c r="C47" s="16"/>
      <c r="D47" s="17"/>
      <c r="E47" s="18">
        <f t="shared" si="1"/>
        <v>0</v>
      </c>
      <c r="F47" s="17"/>
      <c r="G47" s="18">
        <f t="shared" si="2"/>
        <v>0</v>
      </c>
    </row>
    <row r="48" ht="15.75" customHeight="1">
      <c r="A48" s="14"/>
      <c r="B48" s="15"/>
      <c r="C48" s="16"/>
      <c r="D48" s="17"/>
      <c r="E48" s="18">
        <f t="shared" si="1"/>
        <v>0</v>
      </c>
      <c r="F48" s="17"/>
      <c r="G48" s="18">
        <f t="shared" si="2"/>
        <v>0</v>
      </c>
    </row>
    <row r="49" ht="15.75" customHeight="1">
      <c r="A49" s="14"/>
      <c r="B49" s="15"/>
      <c r="C49" s="16"/>
      <c r="D49" s="17"/>
      <c r="E49" s="18">
        <f t="shared" si="1"/>
        <v>0</v>
      </c>
      <c r="F49" s="17"/>
      <c r="G49" s="18">
        <f t="shared" si="2"/>
        <v>0</v>
      </c>
    </row>
    <row r="50" ht="15.75" customHeight="1">
      <c r="A50" s="14"/>
      <c r="B50" s="15"/>
      <c r="C50" s="16"/>
      <c r="D50" s="17"/>
      <c r="E50" s="18">
        <f t="shared" si="1"/>
        <v>0</v>
      </c>
      <c r="F50" s="17"/>
      <c r="G50" s="18">
        <f t="shared" si="2"/>
        <v>0</v>
      </c>
    </row>
    <row r="51" ht="15.75" customHeight="1">
      <c r="A51" s="14"/>
      <c r="B51" s="15"/>
      <c r="C51" s="16"/>
      <c r="D51" s="17"/>
      <c r="E51" s="18">
        <f t="shared" si="1"/>
        <v>0</v>
      </c>
      <c r="F51" s="17"/>
      <c r="G51" s="18">
        <f t="shared" si="2"/>
        <v>0</v>
      </c>
    </row>
    <row r="52" ht="15.75" customHeight="1">
      <c r="A52" s="13" t="s">
        <v>51</v>
      </c>
      <c r="C52" s="16">
        <f>COUNTIF(C2:C51,"O")</f>
        <v>0</v>
      </c>
      <c r="E52" s="18">
        <f t="shared" ref="E52:G52" si="3">SUM(E2:E51)</f>
        <v>0</v>
      </c>
      <c r="F52" s="18">
        <f t="shared" si="3"/>
        <v>0</v>
      </c>
      <c r="G52" s="18">
        <f t="shared" si="3"/>
        <v>0</v>
      </c>
    </row>
    <row r="53" ht="15.75" customHeight="1">
      <c r="C53" s="16">
        <f>COUNTIF(C2:C51,"N")</f>
        <v>0</v>
      </c>
    </row>
    <row r="54" ht="15.75" customHeight="1">
      <c r="C54" s="16">
        <f>COUNTIF(C2:C51,"X")</f>
        <v>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71"/>
    <col customWidth="1" min="2" max="2" width="25.71"/>
    <col customWidth="1" min="3" max="3" width="22.71"/>
    <col customWidth="1" min="4" max="4" width="18.71"/>
    <col customWidth="1" min="5" max="7" width="22.71"/>
    <col customWidth="1" min="8" max="26" width="8.71"/>
  </cols>
  <sheetData>
    <row r="1" ht="30.0" customHeight="1">
      <c r="A1" s="13" t="s">
        <v>35</v>
      </c>
      <c r="B1" s="13" t="s">
        <v>36</v>
      </c>
      <c r="C1" s="13" t="s">
        <v>37</v>
      </c>
      <c r="D1" s="13" t="s">
        <v>38</v>
      </c>
      <c r="E1" s="13" t="s">
        <v>39</v>
      </c>
      <c r="F1" s="13" t="s">
        <v>40</v>
      </c>
      <c r="G1" s="13" t="s">
        <v>41</v>
      </c>
    </row>
    <row r="2">
      <c r="A2" s="14"/>
      <c r="B2" s="15"/>
      <c r="C2" s="16"/>
      <c r="D2" s="17"/>
      <c r="E2" s="18">
        <f t="shared" ref="E2:E51" si="1">IF(C2="O",1,IF(C2="N",0.5,0))*D2</f>
        <v>0</v>
      </c>
      <c r="F2" s="17"/>
      <c r="G2" s="18">
        <f t="shared" ref="G2:G51" si="2">IF(E2=0,0,E2-F2)</f>
        <v>0</v>
      </c>
    </row>
    <row r="3">
      <c r="A3" s="14"/>
      <c r="B3" s="15"/>
      <c r="C3" s="16"/>
      <c r="D3" s="17"/>
      <c r="E3" s="18">
        <f t="shared" si="1"/>
        <v>0</v>
      </c>
      <c r="F3" s="17"/>
      <c r="G3" s="18">
        <f t="shared" si="2"/>
        <v>0</v>
      </c>
    </row>
    <row r="4">
      <c r="A4" s="14"/>
      <c r="B4" s="15"/>
      <c r="C4" s="16"/>
      <c r="D4" s="17"/>
      <c r="E4" s="18">
        <f t="shared" si="1"/>
        <v>0</v>
      </c>
      <c r="F4" s="17"/>
      <c r="G4" s="18">
        <f t="shared" si="2"/>
        <v>0</v>
      </c>
    </row>
    <row r="5">
      <c r="A5" s="14"/>
      <c r="B5" s="15"/>
      <c r="C5" s="16"/>
      <c r="D5" s="17"/>
      <c r="E5" s="18">
        <f t="shared" si="1"/>
        <v>0</v>
      </c>
      <c r="F5" s="17"/>
      <c r="G5" s="18">
        <f t="shared" si="2"/>
        <v>0</v>
      </c>
    </row>
    <row r="6">
      <c r="A6" s="14"/>
      <c r="B6" s="15"/>
      <c r="C6" s="16"/>
      <c r="D6" s="17"/>
      <c r="E6" s="18">
        <f t="shared" si="1"/>
        <v>0</v>
      </c>
      <c r="F6" s="17"/>
      <c r="G6" s="18">
        <f t="shared" si="2"/>
        <v>0</v>
      </c>
    </row>
    <row r="7">
      <c r="A7" s="14"/>
      <c r="B7" s="15"/>
      <c r="C7" s="16"/>
      <c r="D7" s="17"/>
      <c r="E7" s="18">
        <f t="shared" si="1"/>
        <v>0</v>
      </c>
      <c r="F7" s="17"/>
      <c r="G7" s="18">
        <f t="shared" si="2"/>
        <v>0</v>
      </c>
    </row>
    <row r="8">
      <c r="A8" s="14"/>
      <c r="B8" s="15"/>
      <c r="C8" s="16"/>
      <c r="D8" s="17"/>
      <c r="E8" s="18">
        <f t="shared" si="1"/>
        <v>0</v>
      </c>
      <c r="F8" s="17"/>
      <c r="G8" s="18">
        <f t="shared" si="2"/>
        <v>0</v>
      </c>
    </row>
    <row r="9">
      <c r="A9" s="14"/>
      <c r="B9" s="15"/>
      <c r="C9" s="16"/>
      <c r="D9" s="17"/>
      <c r="E9" s="18">
        <f t="shared" si="1"/>
        <v>0</v>
      </c>
      <c r="F9" s="17"/>
      <c r="G9" s="18">
        <f t="shared" si="2"/>
        <v>0</v>
      </c>
    </row>
    <row r="10">
      <c r="A10" s="14"/>
      <c r="B10" s="15"/>
      <c r="C10" s="16"/>
      <c r="D10" s="17"/>
      <c r="E10" s="18">
        <f t="shared" si="1"/>
        <v>0</v>
      </c>
      <c r="F10" s="17"/>
      <c r="G10" s="18">
        <f t="shared" si="2"/>
        <v>0</v>
      </c>
    </row>
    <row r="11">
      <c r="A11" s="14"/>
      <c r="B11" s="15"/>
      <c r="C11" s="16"/>
      <c r="D11" s="17"/>
      <c r="E11" s="18">
        <f t="shared" si="1"/>
        <v>0</v>
      </c>
      <c r="F11" s="17"/>
      <c r="G11" s="18">
        <f t="shared" si="2"/>
        <v>0</v>
      </c>
    </row>
    <row r="12">
      <c r="A12" s="14"/>
      <c r="B12" s="15"/>
      <c r="C12" s="16"/>
      <c r="D12" s="17"/>
      <c r="E12" s="18">
        <f t="shared" si="1"/>
        <v>0</v>
      </c>
      <c r="F12" s="17"/>
      <c r="G12" s="18">
        <f t="shared" si="2"/>
        <v>0</v>
      </c>
    </row>
    <row r="13">
      <c r="A13" s="14"/>
      <c r="B13" s="15"/>
      <c r="C13" s="16"/>
      <c r="D13" s="17"/>
      <c r="E13" s="18">
        <f t="shared" si="1"/>
        <v>0</v>
      </c>
      <c r="F13" s="17"/>
      <c r="G13" s="18">
        <f t="shared" si="2"/>
        <v>0</v>
      </c>
    </row>
    <row r="14">
      <c r="A14" s="14"/>
      <c r="B14" s="15"/>
      <c r="C14" s="16"/>
      <c r="D14" s="17"/>
      <c r="E14" s="18">
        <f t="shared" si="1"/>
        <v>0</v>
      </c>
      <c r="F14" s="17"/>
      <c r="G14" s="18">
        <f t="shared" si="2"/>
        <v>0</v>
      </c>
    </row>
    <row r="15">
      <c r="A15" s="14"/>
      <c r="B15" s="15"/>
      <c r="C15" s="16"/>
      <c r="D15" s="17"/>
      <c r="E15" s="18">
        <f t="shared" si="1"/>
        <v>0</v>
      </c>
      <c r="F15" s="17"/>
      <c r="G15" s="18">
        <f t="shared" si="2"/>
        <v>0</v>
      </c>
    </row>
    <row r="16">
      <c r="A16" s="14"/>
      <c r="B16" s="15"/>
      <c r="C16" s="16"/>
      <c r="D16" s="17"/>
      <c r="E16" s="18">
        <f t="shared" si="1"/>
        <v>0</v>
      </c>
      <c r="F16" s="17"/>
      <c r="G16" s="18">
        <f t="shared" si="2"/>
        <v>0</v>
      </c>
    </row>
    <row r="17">
      <c r="A17" s="14"/>
      <c r="B17" s="15"/>
      <c r="C17" s="16"/>
      <c r="D17" s="17"/>
      <c r="E17" s="18">
        <f t="shared" si="1"/>
        <v>0</v>
      </c>
      <c r="F17" s="17"/>
      <c r="G17" s="18">
        <f t="shared" si="2"/>
        <v>0</v>
      </c>
    </row>
    <row r="18">
      <c r="A18" s="14"/>
      <c r="B18" s="15"/>
      <c r="C18" s="16"/>
      <c r="D18" s="17"/>
      <c r="E18" s="18">
        <f t="shared" si="1"/>
        <v>0</v>
      </c>
      <c r="F18" s="17"/>
      <c r="G18" s="18">
        <f t="shared" si="2"/>
        <v>0</v>
      </c>
    </row>
    <row r="19">
      <c r="A19" s="14"/>
      <c r="B19" s="15"/>
      <c r="C19" s="16"/>
      <c r="D19" s="17"/>
      <c r="E19" s="18">
        <f t="shared" si="1"/>
        <v>0</v>
      </c>
      <c r="F19" s="17"/>
      <c r="G19" s="18">
        <f t="shared" si="2"/>
        <v>0</v>
      </c>
    </row>
    <row r="20">
      <c r="A20" s="14"/>
      <c r="B20" s="15"/>
      <c r="C20" s="16"/>
      <c r="D20" s="17"/>
      <c r="E20" s="18">
        <f t="shared" si="1"/>
        <v>0</v>
      </c>
      <c r="F20" s="17"/>
      <c r="G20" s="18">
        <f t="shared" si="2"/>
        <v>0</v>
      </c>
    </row>
    <row r="21" ht="15.75" customHeight="1">
      <c r="A21" s="14"/>
      <c r="B21" s="15"/>
      <c r="C21" s="16"/>
      <c r="D21" s="17"/>
      <c r="E21" s="18">
        <f t="shared" si="1"/>
        <v>0</v>
      </c>
      <c r="F21" s="17"/>
      <c r="G21" s="18">
        <f t="shared" si="2"/>
        <v>0</v>
      </c>
    </row>
    <row r="22" ht="15.75" customHeight="1">
      <c r="A22" s="14"/>
      <c r="B22" s="15"/>
      <c r="C22" s="16"/>
      <c r="D22" s="17"/>
      <c r="E22" s="18">
        <f t="shared" si="1"/>
        <v>0</v>
      </c>
      <c r="F22" s="17"/>
      <c r="G22" s="18">
        <f t="shared" si="2"/>
        <v>0</v>
      </c>
    </row>
    <row r="23" ht="15.75" customHeight="1">
      <c r="A23" s="14"/>
      <c r="B23" s="15"/>
      <c r="C23" s="16"/>
      <c r="D23" s="17"/>
      <c r="E23" s="18">
        <f t="shared" si="1"/>
        <v>0</v>
      </c>
      <c r="F23" s="17"/>
      <c r="G23" s="18">
        <f t="shared" si="2"/>
        <v>0</v>
      </c>
    </row>
    <row r="24" ht="15.75" customHeight="1">
      <c r="A24" s="14"/>
      <c r="B24" s="15"/>
      <c r="C24" s="16"/>
      <c r="D24" s="17"/>
      <c r="E24" s="18">
        <f t="shared" si="1"/>
        <v>0</v>
      </c>
      <c r="F24" s="17"/>
      <c r="G24" s="18">
        <f t="shared" si="2"/>
        <v>0</v>
      </c>
    </row>
    <row r="25" ht="15.75" customHeight="1">
      <c r="A25" s="14"/>
      <c r="B25" s="15"/>
      <c r="C25" s="16"/>
      <c r="D25" s="17"/>
      <c r="E25" s="18">
        <f t="shared" si="1"/>
        <v>0</v>
      </c>
      <c r="F25" s="17"/>
      <c r="G25" s="18">
        <f t="shared" si="2"/>
        <v>0</v>
      </c>
    </row>
    <row r="26" ht="15.75" customHeight="1">
      <c r="A26" s="14"/>
      <c r="B26" s="15"/>
      <c r="C26" s="16"/>
      <c r="D26" s="17"/>
      <c r="E26" s="18">
        <f t="shared" si="1"/>
        <v>0</v>
      </c>
      <c r="F26" s="17"/>
      <c r="G26" s="18">
        <f t="shared" si="2"/>
        <v>0</v>
      </c>
    </row>
    <row r="27" ht="15.75" customHeight="1">
      <c r="A27" s="14"/>
      <c r="B27" s="15"/>
      <c r="C27" s="16"/>
      <c r="D27" s="17"/>
      <c r="E27" s="18">
        <f t="shared" si="1"/>
        <v>0</v>
      </c>
      <c r="F27" s="17"/>
      <c r="G27" s="18">
        <f t="shared" si="2"/>
        <v>0</v>
      </c>
    </row>
    <row r="28" ht="15.75" customHeight="1">
      <c r="A28" s="14"/>
      <c r="B28" s="15"/>
      <c r="C28" s="16"/>
      <c r="D28" s="17"/>
      <c r="E28" s="18">
        <f t="shared" si="1"/>
        <v>0</v>
      </c>
      <c r="F28" s="17"/>
      <c r="G28" s="18">
        <f t="shared" si="2"/>
        <v>0</v>
      </c>
    </row>
    <row r="29" ht="15.75" customHeight="1">
      <c r="A29" s="14"/>
      <c r="B29" s="15"/>
      <c r="C29" s="16"/>
      <c r="D29" s="17"/>
      <c r="E29" s="18">
        <f t="shared" si="1"/>
        <v>0</v>
      </c>
      <c r="F29" s="17"/>
      <c r="G29" s="18">
        <f t="shared" si="2"/>
        <v>0</v>
      </c>
    </row>
    <row r="30" ht="15.75" customHeight="1">
      <c r="A30" s="14"/>
      <c r="B30" s="15"/>
      <c r="C30" s="16"/>
      <c r="D30" s="17"/>
      <c r="E30" s="18">
        <f t="shared" si="1"/>
        <v>0</v>
      </c>
      <c r="F30" s="17"/>
      <c r="G30" s="18">
        <f t="shared" si="2"/>
        <v>0</v>
      </c>
    </row>
    <row r="31" ht="15.75" customHeight="1">
      <c r="A31" s="14"/>
      <c r="B31" s="15"/>
      <c r="C31" s="16"/>
      <c r="D31" s="17"/>
      <c r="E31" s="18">
        <f t="shared" si="1"/>
        <v>0</v>
      </c>
      <c r="F31" s="17"/>
      <c r="G31" s="18">
        <f t="shared" si="2"/>
        <v>0</v>
      </c>
    </row>
    <row r="32" ht="15.75" customHeight="1">
      <c r="A32" s="14"/>
      <c r="B32" s="15"/>
      <c r="C32" s="16"/>
      <c r="D32" s="17"/>
      <c r="E32" s="18">
        <f t="shared" si="1"/>
        <v>0</v>
      </c>
      <c r="F32" s="17"/>
      <c r="G32" s="18">
        <f t="shared" si="2"/>
        <v>0</v>
      </c>
    </row>
    <row r="33" ht="15.75" customHeight="1">
      <c r="A33" s="14"/>
      <c r="B33" s="15"/>
      <c r="C33" s="16"/>
      <c r="D33" s="17"/>
      <c r="E33" s="18">
        <f t="shared" si="1"/>
        <v>0</v>
      </c>
      <c r="F33" s="17"/>
      <c r="G33" s="18">
        <f t="shared" si="2"/>
        <v>0</v>
      </c>
    </row>
    <row r="34" ht="15.75" customHeight="1">
      <c r="A34" s="14"/>
      <c r="B34" s="15"/>
      <c r="C34" s="16"/>
      <c r="D34" s="17"/>
      <c r="E34" s="18">
        <f t="shared" si="1"/>
        <v>0</v>
      </c>
      <c r="F34" s="17"/>
      <c r="G34" s="18">
        <f t="shared" si="2"/>
        <v>0</v>
      </c>
    </row>
    <row r="35" ht="15.75" customHeight="1">
      <c r="A35" s="14"/>
      <c r="B35" s="15"/>
      <c r="C35" s="16"/>
      <c r="D35" s="17"/>
      <c r="E35" s="18">
        <f t="shared" si="1"/>
        <v>0</v>
      </c>
      <c r="F35" s="17"/>
      <c r="G35" s="18">
        <f t="shared" si="2"/>
        <v>0</v>
      </c>
    </row>
    <row r="36" ht="15.75" customHeight="1">
      <c r="A36" s="14"/>
      <c r="B36" s="15"/>
      <c r="C36" s="16"/>
      <c r="D36" s="17"/>
      <c r="E36" s="18">
        <f t="shared" si="1"/>
        <v>0</v>
      </c>
      <c r="F36" s="17"/>
      <c r="G36" s="18">
        <f t="shared" si="2"/>
        <v>0</v>
      </c>
    </row>
    <row r="37" ht="15.75" customHeight="1">
      <c r="A37" s="14"/>
      <c r="B37" s="15"/>
      <c r="C37" s="16"/>
      <c r="D37" s="17"/>
      <c r="E37" s="18">
        <f t="shared" si="1"/>
        <v>0</v>
      </c>
      <c r="F37" s="17"/>
      <c r="G37" s="18">
        <f t="shared" si="2"/>
        <v>0</v>
      </c>
    </row>
    <row r="38" ht="15.75" customHeight="1">
      <c r="A38" s="14"/>
      <c r="B38" s="15"/>
      <c r="C38" s="16"/>
      <c r="D38" s="17"/>
      <c r="E38" s="18">
        <f t="shared" si="1"/>
        <v>0</v>
      </c>
      <c r="F38" s="17"/>
      <c r="G38" s="18">
        <f t="shared" si="2"/>
        <v>0</v>
      </c>
    </row>
    <row r="39" ht="15.75" customHeight="1">
      <c r="A39" s="14"/>
      <c r="B39" s="15"/>
      <c r="C39" s="16"/>
      <c r="D39" s="17"/>
      <c r="E39" s="18">
        <f t="shared" si="1"/>
        <v>0</v>
      </c>
      <c r="F39" s="17"/>
      <c r="G39" s="18">
        <f t="shared" si="2"/>
        <v>0</v>
      </c>
    </row>
    <row r="40" ht="15.75" customHeight="1">
      <c r="A40" s="14"/>
      <c r="B40" s="15"/>
      <c r="C40" s="16"/>
      <c r="D40" s="17"/>
      <c r="E40" s="18">
        <f t="shared" si="1"/>
        <v>0</v>
      </c>
      <c r="F40" s="17"/>
      <c r="G40" s="18">
        <f t="shared" si="2"/>
        <v>0</v>
      </c>
    </row>
    <row r="41" ht="15.75" customHeight="1">
      <c r="A41" s="14"/>
      <c r="B41" s="15"/>
      <c r="C41" s="16"/>
      <c r="D41" s="17"/>
      <c r="E41" s="18">
        <f t="shared" si="1"/>
        <v>0</v>
      </c>
      <c r="F41" s="17"/>
      <c r="G41" s="18">
        <f t="shared" si="2"/>
        <v>0</v>
      </c>
    </row>
    <row r="42" ht="15.75" customHeight="1">
      <c r="A42" s="14"/>
      <c r="B42" s="15"/>
      <c r="C42" s="16"/>
      <c r="D42" s="17"/>
      <c r="E42" s="18">
        <f t="shared" si="1"/>
        <v>0</v>
      </c>
      <c r="F42" s="17"/>
      <c r="G42" s="18">
        <f t="shared" si="2"/>
        <v>0</v>
      </c>
    </row>
    <row r="43" ht="15.75" customHeight="1">
      <c r="A43" s="14"/>
      <c r="B43" s="15"/>
      <c r="C43" s="16"/>
      <c r="D43" s="17"/>
      <c r="E43" s="18">
        <f t="shared" si="1"/>
        <v>0</v>
      </c>
      <c r="F43" s="17"/>
      <c r="G43" s="18">
        <f t="shared" si="2"/>
        <v>0</v>
      </c>
    </row>
    <row r="44" ht="15.75" customHeight="1">
      <c r="A44" s="14"/>
      <c r="B44" s="15"/>
      <c r="C44" s="16"/>
      <c r="D44" s="17"/>
      <c r="E44" s="18">
        <f t="shared" si="1"/>
        <v>0</v>
      </c>
      <c r="F44" s="17"/>
      <c r="G44" s="18">
        <f t="shared" si="2"/>
        <v>0</v>
      </c>
    </row>
    <row r="45" ht="15.75" customHeight="1">
      <c r="A45" s="14"/>
      <c r="B45" s="15"/>
      <c r="C45" s="16"/>
      <c r="D45" s="17"/>
      <c r="E45" s="18">
        <f t="shared" si="1"/>
        <v>0</v>
      </c>
      <c r="F45" s="17"/>
      <c r="G45" s="18">
        <f t="shared" si="2"/>
        <v>0</v>
      </c>
    </row>
    <row r="46" ht="15.75" customHeight="1">
      <c r="A46" s="14"/>
      <c r="B46" s="15"/>
      <c r="C46" s="16"/>
      <c r="D46" s="17"/>
      <c r="E46" s="18">
        <f t="shared" si="1"/>
        <v>0</v>
      </c>
      <c r="F46" s="17"/>
      <c r="G46" s="18">
        <f t="shared" si="2"/>
        <v>0</v>
      </c>
    </row>
    <row r="47" ht="15.75" customHeight="1">
      <c r="A47" s="14"/>
      <c r="B47" s="15"/>
      <c r="C47" s="16"/>
      <c r="D47" s="17"/>
      <c r="E47" s="18">
        <f t="shared" si="1"/>
        <v>0</v>
      </c>
      <c r="F47" s="17"/>
      <c r="G47" s="18">
        <f t="shared" si="2"/>
        <v>0</v>
      </c>
    </row>
    <row r="48" ht="15.75" customHeight="1">
      <c r="A48" s="14"/>
      <c r="B48" s="15"/>
      <c r="C48" s="16"/>
      <c r="D48" s="17"/>
      <c r="E48" s="18">
        <f t="shared" si="1"/>
        <v>0</v>
      </c>
      <c r="F48" s="17"/>
      <c r="G48" s="18">
        <f t="shared" si="2"/>
        <v>0</v>
      </c>
    </row>
    <row r="49" ht="15.75" customHeight="1">
      <c r="A49" s="14"/>
      <c r="B49" s="15"/>
      <c r="C49" s="16"/>
      <c r="D49" s="17"/>
      <c r="E49" s="18">
        <f t="shared" si="1"/>
        <v>0</v>
      </c>
      <c r="F49" s="17"/>
      <c r="G49" s="18">
        <f t="shared" si="2"/>
        <v>0</v>
      </c>
    </row>
    <row r="50" ht="15.75" customHeight="1">
      <c r="A50" s="14"/>
      <c r="B50" s="15"/>
      <c r="C50" s="16"/>
      <c r="D50" s="17"/>
      <c r="E50" s="18">
        <f t="shared" si="1"/>
        <v>0</v>
      </c>
      <c r="F50" s="17"/>
      <c r="G50" s="18">
        <f t="shared" si="2"/>
        <v>0</v>
      </c>
    </row>
    <row r="51" ht="15.75" customHeight="1">
      <c r="A51" s="14"/>
      <c r="B51" s="15"/>
      <c r="C51" s="16"/>
      <c r="D51" s="17"/>
      <c r="E51" s="18">
        <f t="shared" si="1"/>
        <v>0</v>
      </c>
      <c r="F51" s="17"/>
      <c r="G51" s="18">
        <f t="shared" si="2"/>
        <v>0</v>
      </c>
    </row>
    <row r="52" ht="15.75" customHeight="1">
      <c r="A52" s="13" t="s">
        <v>52</v>
      </c>
      <c r="C52" s="16">
        <f>COUNTIF(C2:C51,"O")</f>
        <v>0</v>
      </c>
      <c r="E52" s="18">
        <f t="shared" ref="E52:G52" si="3">SUM(E2:E51)</f>
        <v>0</v>
      </c>
      <c r="F52" s="18">
        <f t="shared" si="3"/>
        <v>0</v>
      </c>
      <c r="G52" s="18">
        <f t="shared" si="3"/>
        <v>0</v>
      </c>
    </row>
    <row r="53" ht="15.75" customHeight="1">
      <c r="C53" s="16">
        <f>COUNTIF(C2:C51,"N")</f>
        <v>0</v>
      </c>
    </row>
    <row r="54" ht="15.75" customHeight="1">
      <c r="C54" s="16">
        <f>COUNTIF(C2:C51,"X")</f>
        <v>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71"/>
    <col customWidth="1" min="2" max="2" width="25.71"/>
    <col customWidth="1" min="3" max="3" width="22.71"/>
    <col customWidth="1" min="4" max="4" width="18.71"/>
    <col customWidth="1" min="5" max="7" width="22.71"/>
    <col customWidth="1" min="8" max="26" width="8.71"/>
  </cols>
  <sheetData>
    <row r="1" ht="30.0" customHeight="1">
      <c r="A1" s="13" t="s">
        <v>35</v>
      </c>
      <c r="B1" s="13" t="s">
        <v>36</v>
      </c>
      <c r="C1" s="13" t="s">
        <v>37</v>
      </c>
      <c r="D1" s="13" t="s">
        <v>38</v>
      </c>
      <c r="E1" s="13" t="s">
        <v>39</v>
      </c>
      <c r="F1" s="13" t="s">
        <v>40</v>
      </c>
      <c r="G1" s="13" t="s">
        <v>41</v>
      </c>
    </row>
    <row r="2">
      <c r="A2" s="14"/>
      <c r="B2" s="15"/>
      <c r="C2" s="16"/>
      <c r="D2" s="17"/>
      <c r="E2" s="18">
        <f t="shared" ref="E2:E51" si="1">IF(C2="O",1,IF(C2="N",0.5,0))*D2</f>
        <v>0</v>
      </c>
      <c r="F2" s="17"/>
      <c r="G2" s="18">
        <f t="shared" ref="G2:G51" si="2">IF(E2=0,0,E2-F2)</f>
        <v>0</v>
      </c>
    </row>
    <row r="3">
      <c r="A3" s="14"/>
      <c r="B3" s="15"/>
      <c r="C3" s="16"/>
      <c r="D3" s="17"/>
      <c r="E3" s="18">
        <f t="shared" si="1"/>
        <v>0</v>
      </c>
      <c r="F3" s="17"/>
      <c r="G3" s="18">
        <f t="shared" si="2"/>
        <v>0</v>
      </c>
    </row>
    <row r="4">
      <c r="A4" s="14"/>
      <c r="B4" s="15"/>
      <c r="C4" s="16"/>
      <c r="D4" s="17"/>
      <c r="E4" s="18">
        <f t="shared" si="1"/>
        <v>0</v>
      </c>
      <c r="F4" s="17"/>
      <c r="G4" s="18">
        <f t="shared" si="2"/>
        <v>0</v>
      </c>
    </row>
    <row r="5">
      <c r="A5" s="14"/>
      <c r="B5" s="15"/>
      <c r="C5" s="16"/>
      <c r="D5" s="17"/>
      <c r="E5" s="18">
        <f t="shared" si="1"/>
        <v>0</v>
      </c>
      <c r="F5" s="17"/>
      <c r="G5" s="18">
        <f t="shared" si="2"/>
        <v>0</v>
      </c>
    </row>
    <row r="6">
      <c r="A6" s="14"/>
      <c r="B6" s="15"/>
      <c r="C6" s="16"/>
      <c r="D6" s="17"/>
      <c r="E6" s="18">
        <f t="shared" si="1"/>
        <v>0</v>
      </c>
      <c r="F6" s="17"/>
      <c r="G6" s="18">
        <f t="shared" si="2"/>
        <v>0</v>
      </c>
    </row>
    <row r="7">
      <c r="A7" s="14"/>
      <c r="B7" s="15"/>
      <c r="C7" s="16"/>
      <c r="D7" s="17"/>
      <c r="E7" s="18">
        <f t="shared" si="1"/>
        <v>0</v>
      </c>
      <c r="F7" s="17"/>
      <c r="G7" s="18">
        <f t="shared" si="2"/>
        <v>0</v>
      </c>
    </row>
    <row r="8">
      <c r="A8" s="14"/>
      <c r="B8" s="15"/>
      <c r="C8" s="16"/>
      <c r="D8" s="17"/>
      <c r="E8" s="18">
        <f t="shared" si="1"/>
        <v>0</v>
      </c>
      <c r="F8" s="17"/>
      <c r="G8" s="18">
        <f t="shared" si="2"/>
        <v>0</v>
      </c>
    </row>
    <row r="9">
      <c r="A9" s="14"/>
      <c r="B9" s="15"/>
      <c r="C9" s="16"/>
      <c r="D9" s="17"/>
      <c r="E9" s="18">
        <f t="shared" si="1"/>
        <v>0</v>
      </c>
      <c r="F9" s="17"/>
      <c r="G9" s="18">
        <f t="shared" si="2"/>
        <v>0</v>
      </c>
    </row>
    <row r="10">
      <c r="A10" s="14"/>
      <c r="B10" s="15"/>
      <c r="C10" s="16"/>
      <c r="D10" s="17"/>
      <c r="E10" s="18">
        <f t="shared" si="1"/>
        <v>0</v>
      </c>
      <c r="F10" s="17"/>
      <c r="G10" s="18">
        <f t="shared" si="2"/>
        <v>0</v>
      </c>
    </row>
    <row r="11">
      <c r="A11" s="14"/>
      <c r="B11" s="15"/>
      <c r="C11" s="16"/>
      <c r="D11" s="17"/>
      <c r="E11" s="18">
        <f t="shared" si="1"/>
        <v>0</v>
      </c>
      <c r="F11" s="17"/>
      <c r="G11" s="18">
        <f t="shared" si="2"/>
        <v>0</v>
      </c>
    </row>
    <row r="12">
      <c r="A12" s="14"/>
      <c r="B12" s="15"/>
      <c r="C12" s="16"/>
      <c r="D12" s="17"/>
      <c r="E12" s="18">
        <f t="shared" si="1"/>
        <v>0</v>
      </c>
      <c r="F12" s="17"/>
      <c r="G12" s="18">
        <f t="shared" si="2"/>
        <v>0</v>
      </c>
    </row>
    <row r="13">
      <c r="A13" s="14"/>
      <c r="B13" s="15"/>
      <c r="C13" s="16"/>
      <c r="D13" s="17"/>
      <c r="E13" s="18">
        <f t="shared" si="1"/>
        <v>0</v>
      </c>
      <c r="F13" s="17"/>
      <c r="G13" s="18">
        <f t="shared" si="2"/>
        <v>0</v>
      </c>
    </row>
    <row r="14">
      <c r="A14" s="14"/>
      <c r="B14" s="15"/>
      <c r="C14" s="16"/>
      <c r="D14" s="17"/>
      <c r="E14" s="18">
        <f t="shared" si="1"/>
        <v>0</v>
      </c>
      <c r="F14" s="17"/>
      <c r="G14" s="18">
        <f t="shared" si="2"/>
        <v>0</v>
      </c>
    </row>
    <row r="15">
      <c r="A15" s="14"/>
      <c r="B15" s="15"/>
      <c r="C15" s="16"/>
      <c r="D15" s="17"/>
      <c r="E15" s="18">
        <f t="shared" si="1"/>
        <v>0</v>
      </c>
      <c r="F15" s="17"/>
      <c r="G15" s="18">
        <f t="shared" si="2"/>
        <v>0</v>
      </c>
    </row>
    <row r="16">
      <c r="A16" s="14"/>
      <c r="B16" s="15"/>
      <c r="C16" s="16"/>
      <c r="D16" s="17"/>
      <c r="E16" s="18">
        <f t="shared" si="1"/>
        <v>0</v>
      </c>
      <c r="F16" s="17"/>
      <c r="G16" s="18">
        <f t="shared" si="2"/>
        <v>0</v>
      </c>
    </row>
    <row r="17">
      <c r="A17" s="14"/>
      <c r="B17" s="15"/>
      <c r="C17" s="16"/>
      <c r="D17" s="17"/>
      <c r="E17" s="18">
        <f t="shared" si="1"/>
        <v>0</v>
      </c>
      <c r="F17" s="17"/>
      <c r="G17" s="18">
        <f t="shared" si="2"/>
        <v>0</v>
      </c>
    </row>
    <row r="18">
      <c r="A18" s="14"/>
      <c r="B18" s="15"/>
      <c r="C18" s="16"/>
      <c r="D18" s="17"/>
      <c r="E18" s="18">
        <f t="shared" si="1"/>
        <v>0</v>
      </c>
      <c r="F18" s="17"/>
      <c r="G18" s="18">
        <f t="shared" si="2"/>
        <v>0</v>
      </c>
    </row>
    <row r="19">
      <c r="A19" s="14"/>
      <c r="B19" s="15"/>
      <c r="C19" s="16"/>
      <c r="D19" s="17"/>
      <c r="E19" s="18">
        <f t="shared" si="1"/>
        <v>0</v>
      </c>
      <c r="F19" s="17"/>
      <c r="G19" s="18">
        <f t="shared" si="2"/>
        <v>0</v>
      </c>
    </row>
    <row r="20">
      <c r="A20" s="14"/>
      <c r="B20" s="15"/>
      <c r="C20" s="16"/>
      <c r="D20" s="17"/>
      <c r="E20" s="18">
        <f t="shared" si="1"/>
        <v>0</v>
      </c>
      <c r="F20" s="17"/>
      <c r="G20" s="18">
        <f t="shared" si="2"/>
        <v>0</v>
      </c>
    </row>
    <row r="21" ht="15.75" customHeight="1">
      <c r="A21" s="14"/>
      <c r="B21" s="15"/>
      <c r="C21" s="16"/>
      <c r="D21" s="17"/>
      <c r="E21" s="18">
        <f t="shared" si="1"/>
        <v>0</v>
      </c>
      <c r="F21" s="17"/>
      <c r="G21" s="18">
        <f t="shared" si="2"/>
        <v>0</v>
      </c>
    </row>
    <row r="22" ht="15.75" customHeight="1">
      <c r="A22" s="14"/>
      <c r="B22" s="15"/>
      <c r="C22" s="16"/>
      <c r="D22" s="17"/>
      <c r="E22" s="18">
        <f t="shared" si="1"/>
        <v>0</v>
      </c>
      <c r="F22" s="17"/>
      <c r="G22" s="18">
        <f t="shared" si="2"/>
        <v>0</v>
      </c>
    </row>
    <row r="23" ht="15.75" customHeight="1">
      <c r="A23" s="14"/>
      <c r="B23" s="15"/>
      <c r="C23" s="16"/>
      <c r="D23" s="17"/>
      <c r="E23" s="18">
        <f t="shared" si="1"/>
        <v>0</v>
      </c>
      <c r="F23" s="17"/>
      <c r="G23" s="18">
        <f t="shared" si="2"/>
        <v>0</v>
      </c>
    </row>
    <row r="24" ht="15.75" customHeight="1">
      <c r="A24" s="14"/>
      <c r="B24" s="15"/>
      <c r="C24" s="16"/>
      <c r="D24" s="17"/>
      <c r="E24" s="18">
        <f t="shared" si="1"/>
        <v>0</v>
      </c>
      <c r="F24" s="17"/>
      <c r="G24" s="18">
        <f t="shared" si="2"/>
        <v>0</v>
      </c>
    </row>
    <row r="25" ht="15.75" customHeight="1">
      <c r="A25" s="14"/>
      <c r="B25" s="15"/>
      <c r="C25" s="16"/>
      <c r="D25" s="17"/>
      <c r="E25" s="18">
        <f t="shared" si="1"/>
        <v>0</v>
      </c>
      <c r="F25" s="17"/>
      <c r="G25" s="18">
        <f t="shared" si="2"/>
        <v>0</v>
      </c>
    </row>
    <row r="26" ht="15.75" customHeight="1">
      <c r="A26" s="14"/>
      <c r="B26" s="15"/>
      <c r="C26" s="16"/>
      <c r="D26" s="17"/>
      <c r="E26" s="18">
        <f t="shared" si="1"/>
        <v>0</v>
      </c>
      <c r="F26" s="17"/>
      <c r="G26" s="18">
        <f t="shared" si="2"/>
        <v>0</v>
      </c>
    </row>
    <row r="27" ht="15.75" customHeight="1">
      <c r="A27" s="14"/>
      <c r="B27" s="15"/>
      <c r="C27" s="16"/>
      <c r="D27" s="17"/>
      <c r="E27" s="18">
        <f t="shared" si="1"/>
        <v>0</v>
      </c>
      <c r="F27" s="17"/>
      <c r="G27" s="18">
        <f t="shared" si="2"/>
        <v>0</v>
      </c>
    </row>
    <row r="28" ht="15.75" customHeight="1">
      <c r="A28" s="14"/>
      <c r="B28" s="15"/>
      <c r="C28" s="16"/>
      <c r="D28" s="17"/>
      <c r="E28" s="18">
        <f t="shared" si="1"/>
        <v>0</v>
      </c>
      <c r="F28" s="17"/>
      <c r="G28" s="18">
        <f t="shared" si="2"/>
        <v>0</v>
      </c>
    </row>
    <row r="29" ht="15.75" customHeight="1">
      <c r="A29" s="14"/>
      <c r="B29" s="15"/>
      <c r="C29" s="16"/>
      <c r="D29" s="17"/>
      <c r="E29" s="18">
        <f t="shared" si="1"/>
        <v>0</v>
      </c>
      <c r="F29" s="17"/>
      <c r="G29" s="18">
        <f t="shared" si="2"/>
        <v>0</v>
      </c>
    </row>
    <row r="30" ht="15.75" customHeight="1">
      <c r="A30" s="14"/>
      <c r="B30" s="15"/>
      <c r="C30" s="16"/>
      <c r="D30" s="17"/>
      <c r="E30" s="18">
        <f t="shared" si="1"/>
        <v>0</v>
      </c>
      <c r="F30" s="17"/>
      <c r="G30" s="18">
        <f t="shared" si="2"/>
        <v>0</v>
      </c>
    </row>
    <row r="31" ht="15.75" customHeight="1">
      <c r="A31" s="14"/>
      <c r="B31" s="15"/>
      <c r="C31" s="16"/>
      <c r="D31" s="17"/>
      <c r="E31" s="18">
        <f t="shared" si="1"/>
        <v>0</v>
      </c>
      <c r="F31" s="17"/>
      <c r="G31" s="18">
        <f t="shared" si="2"/>
        <v>0</v>
      </c>
    </row>
    <row r="32" ht="15.75" customHeight="1">
      <c r="A32" s="14"/>
      <c r="B32" s="15"/>
      <c r="C32" s="16"/>
      <c r="D32" s="17"/>
      <c r="E32" s="18">
        <f t="shared" si="1"/>
        <v>0</v>
      </c>
      <c r="F32" s="17"/>
      <c r="G32" s="18">
        <f t="shared" si="2"/>
        <v>0</v>
      </c>
    </row>
    <row r="33" ht="15.75" customHeight="1">
      <c r="A33" s="14"/>
      <c r="B33" s="15"/>
      <c r="C33" s="16"/>
      <c r="D33" s="17"/>
      <c r="E33" s="18">
        <f t="shared" si="1"/>
        <v>0</v>
      </c>
      <c r="F33" s="17"/>
      <c r="G33" s="18">
        <f t="shared" si="2"/>
        <v>0</v>
      </c>
    </row>
    <row r="34" ht="15.75" customHeight="1">
      <c r="A34" s="14"/>
      <c r="B34" s="15"/>
      <c r="C34" s="16"/>
      <c r="D34" s="17"/>
      <c r="E34" s="18">
        <f t="shared" si="1"/>
        <v>0</v>
      </c>
      <c r="F34" s="17"/>
      <c r="G34" s="18">
        <f t="shared" si="2"/>
        <v>0</v>
      </c>
    </row>
    <row r="35" ht="15.75" customHeight="1">
      <c r="A35" s="14"/>
      <c r="B35" s="15"/>
      <c r="C35" s="16"/>
      <c r="D35" s="17"/>
      <c r="E35" s="18">
        <f t="shared" si="1"/>
        <v>0</v>
      </c>
      <c r="F35" s="17"/>
      <c r="G35" s="18">
        <f t="shared" si="2"/>
        <v>0</v>
      </c>
    </row>
    <row r="36" ht="15.75" customHeight="1">
      <c r="A36" s="14"/>
      <c r="B36" s="15"/>
      <c r="C36" s="16"/>
      <c r="D36" s="17"/>
      <c r="E36" s="18">
        <f t="shared" si="1"/>
        <v>0</v>
      </c>
      <c r="F36" s="17"/>
      <c r="G36" s="18">
        <f t="shared" si="2"/>
        <v>0</v>
      </c>
    </row>
    <row r="37" ht="15.75" customHeight="1">
      <c r="A37" s="14"/>
      <c r="B37" s="15"/>
      <c r="C37" s="16"/>
      <c r="D37" s="17"/>
      <c r="E37" s="18">
        <f t="shared" si="1"/>
        <v>0</v>
      </c>
      <c r="F37" s="17"/>
      <c r="G37" s="18">
        <f t="shared" si="2"/>
        <v>0</v>
      </c>
    </row>
    <row r="38" ht="15.75" customHeight="1">
      <c r="A38" s="14"/>
      <c r="B38" s="15"/>
      <c r="C38" s="16"/>
      <c r="D38" s="17"/>
      <c r="E38" s="18">
        <f t="shared" si="1"/>
        <v>0</v>
      </c>
      <c r="F38" s="17"/>
      <c r="G38" s="18">
        <f t="shared" si="2"/>
        <v>0</v>
      </c>
    </row>
    <row r="39" ht="15.75" customHeight="1">
      <c r="A39" s="14"/>
      <c r="B39" s="15"/>
      <c r="C39" s="16"/>
      <c r="D39" s="17"/>
      <c r="E39" s="18">
        <f t="shared" si="1"/>
        <v>0</v>
      </c>
      <c r="F39" s="17"/>
      <c r="G39" s="18">
        <f t="shared" si="2"/>
        <v>0</v>
      </c>
    </row>
    <row r="40" ht="15.75" customHeight="1">
      <c r="A40" s="14"/>
      <c r="B40" s="15"/>
      <c r="C40" s="16"/>
      <c r="D40" s="17"/>
      <c r="E40" s="18">
        <f t="shared" si="1"/>
        <v>0</v>
      </c>
      <c r="F40" s="17"/>
      <c r="G40" s="18">
        <f t="shared" si="2"/>
        <v>0</v>
      </c>
    </row>
    <row r="41" ht="15.75" customHeight="1">
      <c r="A41" s="14"/>
      <c r="B41" s="15"/>
      <c r="C41" s="16"/>
      <c r="D41" s="17"/>
      <c r="E41" s="18">
        <f t="shared" si="1"/>
        <v>0</v>
      </c>
      <c r="F41" s="17"/>
      <c r="G41" s="18">
        <f t="shared" si="2"/>
        <v>0</v>
      </c>
    </row>
    <row r="42" ht="15.75" customHeight="1">
      <c r="A42" s="14"/>
      <c r="B42" s="15"/>
      <c r="C42" s="16"/>
      <c r="D42" s="17"/>
      <c r="E42" s="18">
        <f t="shared" si="1"/>
        <v>0</v>
      </c>
      <c r="F42" s="17"/>
      <c r="G42" s="18">
        <f t="shared" si="2"/>
        <v>0</v>
      </c>
    </row>
    <row r="43" ht="15.75" customHeight="1">
      <c r="A43" s="14"/>
      <c r="B43" s="15"/>
      <c r="C43" s="16"/>
      <c r="D43" s="17"/>
      <c r="E43" s="18">
        <f t="shared" si="1"/>
        <v>0</v>
      </c>
      <c r="F43" s="17"/>
      <c r="G43" s="18">
        <f t="shared" si="2"/>
        <v>0</v>
      </c>
    </row>
    <row r="44" ht="15.75" customHeight="1">
      <c r="A44" s="14"/>
      <c r="B44" s="15"/>
      <c r="C44" s="16"/>
      <c r="D44" s="17"/>
      <c r="E44" s="18">
        <f t="shared" si="1"/>
        <v>0</v>
      </c>
      <c r="F44" s="17"/>
      <c r="G44" s="18">
        <f t="shared" si="2"/>
        <v>0</v>
      </c>
    </row>
    <row r="45" ht="15.75" customHeight="1">
      <c r="A45" s="14"/>
      <c r="B45" s="15"/>
      <c r="C45" s="16"/>
      <c r="D45" s="17"/>
      <c r="E45" s="18">
        <f t="shared" si="1"/>
        <v>0</v>
      </c>
      <c r="F45" s="17"/>
      <c r="G45" s="18">
        <f t="shared" si="2"/>
        <v>0</v>
      </c>
    </row>
    <row r="46" ht="15.75" customHeight="1">
      <c r="A46" s="14"/>
      <c r="B46" s="15"/>
      <c r="C46" s="16"/>
      <c r="D46" s="17"/>
      <c r="E46" s="18">
        <f t="shared" si="1"/>
        <v>0</v>
      </c>
      <c r="F46" s="17"/>
      <c r="G46" s="18">
        <f t="shared" si="2"/>
        <v>0</v>
      </c>
    </row>
    <row r="47" ht="15.75" customHeight="1">
      <c r="A47" s="14"/>
      <c r="B47" s="15"/>
      <c r="C47" s="16"/>
      <c r="D47" s="17"/>
      <c r="E47" s="18">
        <f t="shared" si="1"/>
        <v>0</v>
      </c>
      <c r="F47" s="17"/>
      <c r="G47" s="18">
        <f t="shared" si="2"/>
        <v>0</v>
      </c>
    </row>
    <row r="48" ht="15.75" customHeight="1">
      <c r="A48" s="14"/>
      <c r="B48" s="15"/>
      <c r="C48" s="16"/>
      <c r="D48" s="17"/>
      <c r="E48" s="18">
        <f t="shared" si="1"/>
        <v>0</v>
      </c>
      <c r="F48" s="17"/>
      <c r="G48" s="18">
        <f t="shared" si="2"/>
        <v>0</v>
      </c>
    </row>
    <row r="49" ht="15.75" customHeight="1">
      <c r="A49" s="14"/>
      <c r="B49" s="15"/>
      <c r="C49" s="16"/>
      <c r="D49" s="17"/>
      <c r="E49" s="18">
        <f t="shared" si="1"/>
        <v>0</v>
      </c>
      <c r="F49" s="17"/>
      <c r="G49" s="18">
        <f t="shared" si="2"/>
        <v>0</v>
      </c>
    </row>
    <row r="50" ht="15.75" customHeight="1">
      <c r="A50" s="14"/>
      <c r="B50" s="15"/>
      <c r="C50" s="16"/>
      <c r="D50" s="17"/>
      <c r="E50" s="18">
        <f t="shared" si="1"/>
        <v>0</v>
      </c>
      <c r="F50" s="17"/>
      <c r="G50" s="18">
        <f t="shared" si="2"/>
        <v>0</v>
      </c>
    </row>
    <row r="51" ht="15.75" customHeight="1">
      <c r="A51" s="14"/>
      <c r="B51" s="15"/>
      <c r="C51" s="16"/>
      <c r="D51" s="17"/>
      <c r="E51" s="18">
        <f t="shared" si="1"/>
        <v>0</v>
      </c>
      <c r="F51" s="17"/>
      <c r="G51" s="18">
        <f t="shared" si="2"/>
        <v>0</v>
      </c>
    </row>
    <row r="52" ht="15.75" customHeight="1">
      <c r="A52" s="13" t="s">
        <v>53</v>
      </c>
      <c r="C52" s="16">
        <f>COUNTIF(C2:C51,"O")</f>
        <v>0</v>
      </c>
      <c r="E52" s="18">
        <f t="shared" ref="E52:G52" si="3">SUM(E2:E51)</f>
        <v>0</v>
      </c>
      <c r="F52" s="18">
        <f t="shared" si="3"/>
        <v>0</v>
      </c>
      <c r="G52" s="18">
        <f t="shared" si="3"/>
        <v>0</v>
      </c>
    </row>
    <row r="53" ht="15.75" customHeight="1">
      <c r="C53" s="16">
        <f>COUNTIF(C2:C51,"N")</f>
        <v>0</v>
      </c>
    </row>
    <row r="54" ht="15.75" customHeight="1">
      <c r="C54" s="16">
        <f>COUNTIF(C2:C51,"X")</f>
        <v>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71"/>
    <col customWidth="1" min="2" max="2" width="25.71"/>
    <col customWidth="1" min="3" max="3" width="22.71"/>
    <col customWidth="1" min="4" max="4" width="18.71"/>
    <col customWidth="1" min="5" max="7" width="22.71"/>
    <col customWidth="1" min="8" max="26" width="8.71"/>
  </cols>
  <sheetData>
    <row r="1" ht="30.0" customHeight="1">
      <c r="A1" s="13" t="s">
        <v>35</v>
      </c>
      <c r="B1" s="13" t="s">
        <v>36</v>
      </c>
      <c r="C1" s="13" t="s">
        <v>37</v>
      </c>
      <c r="D1" s="13" t="s">
        <v>38</v>
      </c>
      <c r="E1" s="13" t="s">
        <v>39</v>
      </c>
      <c r="F1" s="13" t="s">
        <v>40</v>
      </c>
      <c r="G1" s="13" t="s">
        <v>41</v>
      </c>
    </row>
    <row r="2">
      <c r="A2" s="14"/>
      <c r="B2" s="15"/>
      <c r="C2" s="16"/>
      <c r="D2" s="17"/>
      <c r="E2" s="18">
        <f t="shared" ref="E2:E51" si="1">IF(C2="O",1,IF(C2="N",0.5,0))*D2</f>
        <v>0</v>
      </c>
      <c r="F2" s="17"/>
      <c r="G2" s="18">
        <f t="shared" ref="G2:G51" si="2">IF(E2=0,0,E2-F2)</f>
        <v>0</v>
      </c>
    </row>
    <row r="3">
      <c r="A3" s="14"/>
      <c r="B3" s="15"/>
      <c r="C3" s="16"/>
      <c r="D3" s="17"/>
      <c r="E3" s="18">
        <f t="shared" si="1"/>
        <v>0</v>
      </c>
      <c r="F3" s="17"/>
      <c r="G3" s="18">
        <f t="shared" si="2"/>
        <v>0</v>
      </c>
    </row>
    <row r="4">
      <c r="A4" s="14"/>
      <c r="B4" s="15"/>
      <c r="C4" s="16"/>
      <c r="D4" s="17"/>
      <c r="E4" s="18">
        <f t="shared" si="1"/>
        <v>0</v>
      </c>
      <c r="F4" s="17"/>
      <c r="G4" s="18">
        <f t="shared" si="2"/>
        <v>0</v>
      </c>
    </row>
    <row r="5">
      <c r="A5" s="14"/>
      <c r="B5" s="15"/>
      <c r="C5" s="16"/>
      <c r="D5" s="17"/>
      <c r="E5" s="18">
        <f t="shared" si="1"/>
        <v>0</v>
      </c>
      <c r="F5" s="17"/>
      <c r="G5" s="18">
        <f t="shared" si="2"/>
        <v>0</v>
      </c>
    </row>
    <row r="6">
      <c r="A6" s="14"/>
      <c r="B6" s="15"/>
      <c r="C6" s="16"/>
      <c r="D6" s="17"/>
      <c r="E6" s="18">
        <f t="shared" si="1"/>
        <v>0</v>
      </c>
      <c r="F6" s="17"/>
      <c r="G6" s="18">
        <f t="shared" si="2"/>
        <v>0</v>
      </c>
    </row>
    <row r="7">
      <c r="A7" s="14"/>
      <c r="B7" s="15"/>
      <c r="C7" s="16"/>
      <c r="D7" s="17"/>
      <c r="E7" s="18">
        <f t="shared" si="1"/>
        <v>0</v>
      </c>
      <c r="F7" s="17"/>
      <c r="G7" s="18">
        <f t="shared" si="2"/>
        <v>0</v>
      </c>
    </row>
    <row r="8">
      <c r="A8" s="14"/>
      <c r="B8" s="15"/>
      <c r="C8" s="16"/>
      <c r="D8" s="17"/>
      <c r="E8" s="18">
        <f t="shared" si="1"/>
        <v>0</v>
      </c>
      <c r="F8" s="17"/>
      <c r="G8" s="18">
        <f t="shared" si="2"/>
        <v>0</v>
      </c>
    </row>
    <row r="9">
      <c r="A9" s="14"/>
      <c r="B9" s="15"/>
      <c r="C9" s="16"/>
      <c r="D9" s="17"/>
      <c r="E9" s="18">
        <f t="shared" si="1"/>
        <v>0</v>
      </c>
      <c r="F9" s="17"/>
      <c r="G9" s="18">
        <f t="shared" si="2"/>
        <v>0</v>
      </c>
    </row>
    <row r="10">
      <c r="A10" s="14"/>
      <c r="B10" s="15"/>
      <c r="C10" s="16"/>
      <c r="D10" s="17"/>
      <c r="E10" s="18">
        <f t="shared" si="1"/>
        <v>0</v>
      </c>
      <c r="F10" s="17"/>
      <c r="G10" s="18">
        <f t="shared" si="2"/>
        <v>0</v>
      </c>
    </row>
    <row r="11">
      <c r="A11" s="14"/>
      <c r="B11" s="15"/>
      <c r="C11" s="16"/>
      <c r="D11" s="17"/>
      <c r="E11" s="18">
        <f t="shared" si="1"/>
        <v>0</v>
      </c>
      <c r="F11" s="17"/>
      <c r="G11" s="18">
        <f t="shared" si="2"/>
        <v>0</v>
      </c>
    </row>
    <row r="12">
      <c r="A12" s="14"/>
      <c r="B12" s="15"/>
      <c r="C12" s="16"/>
      <c r="D12" s="17"/>
      <c r="E12" s="18">
        <f t="shared" si="1"/>
        <v>0</v>
      </c>
      <c r="F12" s="17"/>
      <c r="G12" s="18">
        <f t="shared" si="2"/>
        <v>0</v>
      </c>
    </row>
    <row r="13">
      <c r="A13" s="14"/>
      <c r="B13" s="15"/>
      <c r="C13" s="16"/>
      <c r="D13" s="17"/>
      <c r="E13" s="18">
        <f t="shared" si="1"/>
        <v>0</v>
      </c>
      <c r="F13" s="17"/>
      <c r="G13" s="18">
        <f t="shared" si="2"/>
        <v>0</v>
      </c>
    </row>
    <row r="14">
      <c r="A14" s="14"/>
      <c r="B14" s="15"/>
      <c r="C14" s="16"/>
      <c r="D14" s="17"/>
      <c r="E14" s="18">
        <f t="shared" si="1"/>
        <v>0</v>
      </c>
      <c r="F14" s="17"/>
      <c r="G14" s="18">
        <f t="shared" si="2"/>
        <v>0</v>
      </c>
    </row>
    <row r="15">
      <c r="A15" s="14"/>
      <c r="B15" s="15"/>
      <c r="C15" s="16"/>
      <c r="D15" s="17"/>
      <c r="E15" s="18">
        <f t="shared" si="1"/>
        <v>0</v>
      </c>
      <c r="F15" s="17"/>
      <c r="G15" s="18">
        <f t="shared" si="2"/>
        <v>0</v>
      </c>
    </row>
    <row r="16">
      <c r="A16" s="14"/>
      <c r="B16" s="15"/>
      <c r="C16" s="16"/>
      <c r="D16" s="17"/>
      <c r="E16" s="18">
        <f t="shared" si="1"/>
        <v>0</v>
      </c>
      <c r="F16" s="17"/>
      <c r="G16" s="18">
        <f t="shared" si="2"/>
        <v>0</v>
      </c>
    </row>
    <row r="17">
      <c r="A17" s="14"/>
      <c r="B17" s="15"/>
      <c r="C17" s="16"/>
      <c r="D17" s="17"/>
      <c r="E17" s="18">
        <f t="shared" si="1"/>
        <v>0</v>
      </c>
      <c r="F17" s="17"/>
      <c r="G17" s="18">
        <f t="shared" si="2"/>
        <v>0</v>
      </c>
    </row>
    <row r="18">
      <c r="A18" s="14"/>
      <c r="B18" s="15"/>
      <c r="C18" s="16"/>
      <c r="D18" s="17"/>
      <c r="E18" s="18">
        <f t="shared" si="1"/>
        <v>0</v>
      </c>
      <c r="F18" s="17"/>
      <c r="G18" s="18">
        <f t="shared" si="2"/>
        <v>0</v>
      </c>
    </row>
    <row r="19">
      <c r="A19" s="14"/>
      <c r="B19" s="15"/>
      <c r="C19" s="16"/>
      <c r="D19" s="17"/>
      <c r="E19" s="18">
        <f t="shared" si="1"/>
        <v>0</v>
      </c>
      <c r="F19" s="17"/>
      <c r="G19" s="18">
        <f t="shared" si="2"/>
        <v>0</v>
      </c>
    </row>
    <row r="20">
      <c r="A20" s="14"/>
      <c r="B20" s="15"/>
      <c r="C20" s="16"/>
      <c r="D20" s="17"/>
      <c r="E20" s="18">
        <f t="shared" si="1"/>
        <v>0</v>
      </c>
      <c r="F20" s="17"/>
      <c r="G20" s="18">
        <f t="shared" si="2"/>
        <v>0</v>
      </c>
    </row>
    <row r="21" ht="15.75" customHeight="1">
      <c r="A21" s="14"/>
      <c r="B21" s="15"/>
      <c r="C21" s="16"/>
      <c r="D21" s="17"/>
      <c r="E21" s="18">
        <f t="shared" si="1"/>
        <v>0</v>
      </c>
      <c r="F21" s="17"/>
      <c r="G21" s="18">
        <f t="shared" si="2"/>
        <v>0</v>
      </c>
    </row>
    <row r="22" ht="15.75" customHeight="1">
      <c r="A22" s="14"/>
      <c r="B22" s="15"/>
      <c r="C22" s="16"/>
      <c r="D22" s="17"/>
      <c r="E22" s="18">
        <f t="shared" si="1"/>
        <v>0</v>
      </c>
      <c r="F22" s="17"/>
      <c r="G22" s="18">
        <f t="shared" si="2"/>
        <v>0</v>
      </c>
    </row>
    <row r="23" ht="15.75" customHeight="1">
      <c r="A23" s="14"/>
      <c r="B23" s="15"/>
      <c r="C23" s="16"/>
      <c r="D23" s="17"/>
      <c r="E23" s="18">
        <f t="shared" si="1"/>
        <v>0</v>
      </c>
      <c r="F23" s="17"/>
      <c r="G23" s="18">
        <f t="shared" si="2"/>
        <v>0</v>
      </c>
    </row>
    <row r="24" ht="15.75" customHeight="1">
      <c r="A24" s="14"/>
      <c r="B24" s="15"/>
      <c r="C24" s="16"/>
      <c r="D24" s="17"/>
      <c r="E24" s="18">
        <f t="shared" si="1"/>
        <v>0</v>
      </c>
      <c r="F24" s="17"/>
      <c r="G24" s="18">
        <f t="shared" si="2"/>
        <v>0</v>
      </c>
    </row>
    <row r="25" ht="15.75" customHeight="1">
      <c r="A25" s="14"/>
      <c r="B25" s="15"/>
      <c r="C25" s="16"/>
      <c r="D25" s="17"/>
      <c r="E25" s="18">
        <f t="shared" si="1"/>
        <v>0</v>
      </c>
      <c r="F25" s="17"/>
      <c r="G25" s="18">
        <f t="shared" si="2"/>
        <v>0</v>
      </c>
    </row>
    <row r="26" ht="15.75" customHeight="1">
      <c r="A26" s="14"/>
      <c r="B26" s="15"/>
      <c r="C26" s="16"/>
      <c r="D26" s="17"/>
      <c r="E26" s="18">
        <f t="shared" si="1"/>
        <v>0</v>
      </c>
      <c r="F26" s="17"/>
      <c r="G26" s="18">
        <f t="shared" si="2"/>
        <v>0</v>
      </c>
    </row>
    <row r="27" ht="15.75" customHeight="1">
      <c r="A27" s="14"/>
      <c r="B27" s="15"/>
      <c r="C27" s="16"/>
      <c r="D27" s="17"/>
      <c r="E27" s="18">
        <f t="shared" si="1"/>
        <v>0</v>
      </c>
      <c r="F27" s="17"/>
      <c r="G27" s="18">
        <f t="shared" si="2"/>
        <v>0</v>
      </c>
    </row>
    <row r="28" ht="15.75" customHeight="1">
      <c r="A28" s="14"/>
      <c r="B28" s="15"/>
      <c r="C28" s="16"/>
      <c r="D28" s="17"/>
      <c r="E28" s="18">
        <f t="shared" si="1"/>
        <v>0</v>
      </c>
      <c r="F28" s="17"/>
      <c r="G28" s="18">
        <f t="shared" si="2"/>
        <v>0</v>
      </c>
    </row>
    <row r="29" ht="15.75" customHeight="1">
      <c r="A29" s="14"/>
      <c r="B29" s="15"/>
      <c r="C29" s="16"/>
      <c r="D29" s="17"/>
      <c r="E29" s="18">
        <f t="shared" si="1"/>
        <v>0</v>
      </c>
      <c r="F29" s="17"/>
      <c r="G29" s="18">
        <f t="shared" si="2"/>
        <v>0</v>
      </c>
    </row>
    <row r="30" ht="15.75" customHeight="1">
      <c r="A30" s="14"/>
      <c r="B30" s="15"/>
      <c r="C30" s="16"/>
      <c r="D30" s="17"/>
      <c r="E30" s="18">
        <f t="shared" si="1"/>
        <v>0</v>
      </c>
      <c r="F30" s="17"/>
      <c r="G30" s="18">
        <f t="shared" si="2"/>
        <v>0</v>
      </c>
    </row>
    <row r="31" ht="15.75" customHeight="1">
      <c r="A31" s="14"/>
      <c r="B31" s="15"/>
      <c r="C31" s="16"/>
      <c r="D31" s="17"/>
      <c r="E31" s="18">
        <f t="shared" si="1"/>
        <v>0</v>
      </c>
      <c r="F31" s="17"/>
      <c r="G31" s="18">
        <f t="shared" si="2"/>
        <v>0</v>
      </c>
    </row>
    <row r="32" ht="15.75" customHeight="1">
      <c r="A32" s="14"/>
      <c r="B32" s="15"/>
      <c r="C32" s="16"/>
      <c r="D32" s="17"/>
      <c r="E32" s="18">
        <f t="shared" si="1"/>
        <v>0</v>
      </c>
      <c r="F32" s="17"/>
      <c r="G32" s="18">
        <f t="shared" si="2"/>
        <v>0</v>
      </c>
    </row>
    <row r="33" ht="15.75" customHeight="1">
      <c r="A33" s="14"/>
      <c r="B33" s="15"/>
      <c r="C33" s="16"/>
      <c r="D33" s="17"/>
      <c r="E33" s="18">
        <f t="shared" si="1"/>
        <v>0</v>
      </c>
      <c r="F33" s="17"/>
      <c r="G33" s="18">
        <f t="shared" si="2"/>
        <v>0</v>
      </c>
    </row>
    <row r="34" ht="15.75" customHeight="1">
      <c r="A34" s="14"/>
      <c r="B34" s="15"/>
      <c r="C34" s="16"/>
      <c r="D34" s="17"/>
      <c r="E34" s="18">
        <f t="shared" si="1"/>
        <v>0</v>
      </c>
      <c r="F34" s="17"/>
      <c r="G34" s="18">
        <f t="shared" si="2"/>
        <v>0</v>
      </c>
    </row>
    <row r="35" ht="15.75" customHeight="1">
      <c r="A35" s="14"/>
      <c r="B35" s="15"/>
      <c r="C35" s="16"/>
      <c r="D35" s="17"/>
      <c r="E35" s="18">
        <f t="shared" si="1"/>
        <v>0</v>
      </c>
      <c r="F35" s="17"/>
      <c r="G35" s="18">
        <f t="shared" si="2"/>
        <v>0</v>
      </c>
    </row>
    <row r="36" ht="15.75" customHeight="1">
      <c r="A36" s="14"/>
      <c r="B36" s="15"/>
      <c r="C36" s="16"/>
      <c r="D36" s="17"/>
      <c r="E36" s="18">
        <f t="shared" si="1"/>
        <v>0</v>
      </c>
      <c r="F36" s="17"/>
      <c r="G36" s="18">
        <f t="shared" si="2"/>
        <v>0</v>
      </c>
    </row>
    <row r="37" ht="15.75" customHeight="1">
      <c r="A37" s="14"/>
      <c r="B37" s="15"/>
      <c r="C37" s="16"/>
      <c r="D37" s="17"/>
      <c r="E37" s="18">
        <f t="shared" si="1"/>
        <v>0</v>
      </c>
      <c r="F37" s="17"/>
      <c r="G37" s="18">
        <f t="shared" si="2"/>
        <v>0</v>
      </c>
    </row>
    <row r="38" ht="15.75" customHeight="1">
      <c r="A38" s="14"/>
      <c r="B38" s="15"/>
      <c r="C38" s="16"/>
      <c r="D38" s="17"/>
      <c r="E38" s="18">
        <f t="shared" si="1"/>
        <v>0</v>
      </c>
      <c r="F38" s="17"/>
      <c r="G38" s="18">
        <f t="shared" si="2"/>
        <v>0</v>
      </c>
    </row>
    <row r="39" ht="15.75" customHeight="1">
      <c r="A39" s="14"/>
      <c r="B39" s="15"/>
      <c r="C39" s="16"/>
      <c r="D39" s="17"/>
      <c r="E39" s="18">
        <f t="shared" si="1"/>
        <v>0</v>
      </c>
      <c r="F39" s="17"/>
      <c r="G39" s="18">
        <f t="shared" si="2"/>
        <v>0</v>
      </c>
    </row>
    <row r="40" ht="15.75" customHeight="1">
      <c r="A40" s="14"/>
      <c r="B40" s="15"/>
      <c r="C40" s="16"/>
      <c r="D40" s="17"/>
      <c r="E40" s="18">
        <f t="shared" si="1"/>
        <v>0</v>
      </c>
      <c r="F40" s="17"/>
      <c r="G40" s="18">
        <f t="shared" si="2"/>
        <v>0</v>
      </c>
    </row>
    <row r="41" ht="15.75" customHeight="1">
      <c r="A41" s="14"/>
      <c r="B41" s="15"/>
      <c r="C41" s="16"/>
      <c r="D41" s="17"/>
      <c r="E41" s="18">
        <f t="shared" si="1"/>
        <v>0</v>
      </c>
      <c r="F41" s="17"/>
      <c r="G41" s="18">
        <f t="shared" si="2"/>
        <v>0</v>
      </c>
    </row>
    <row r="42" ht="15.75" customHeight="1">
      <c r="A42" s="14"/>
      <c r="B42" s="15"/>
      <c r="C42" s="16"/>
      <c r="D42" s="17"/>
      <c r="E42" s="18">
        <f t="shared" si="1"/>
        <v>0</v>
      </c>
      <c r="F42" s="17"/>
      <c r="G42" s="18">
        <f t="shared" si="2"/>
        <v>0</v>
      </c>
    </row>
    <row r="43" ht="15.75" customHeight="1">
      <c r="A43" s="14"/>
      <c r="B43" s="15"/>
      <c r="C43" s="16"/>
      <c r="D43" s="17"/>
      <c r="E43" s="18">
        <f t="shared" si="1"/>
        <v>0</v>
      </c>
      <c r="F43" s="17"/>
      <c r="G43" s="18">
        <f t="shared" si="2"/>
        <v>0</v>
      </c>
    </row>
    <row r="44" ht="15.75" customHeight="1">
      <c r="A44" s="14"/>
      <c r="B44" s="15"/>
      <c r="C44" s="16"/>
      <c r="D44" s="17"/>
      <c r="E44" s="18">
        <f t="shared" si="1"/>
        <v>0</v>
      </c>
      <c r="F44" s="17"/>
      <c r="G44" s="18">
        <f t="shared" si="2"/>
        <v>0</v>
      </c>
    </row>
    <row r="45" ht="15.75" customHeight="1">
      <c r="A45" s="14"/>
      <c r="B45" s="15"/>
      <c r="C45" s="16"/>
      <c r="D45" s="17"/>
      <c r="E45" s="18">
        <f t="shared" si="1"/>
        <v>0</v>
      </c>
      <c r="F45" s="17"/>
      <c r="G45" s="18">
        <f t="shared" si="2"/>
        <v>0</v>
      </c>
    </row>
    <row r="46" ht="15.75" customHeight="1">
      <c r="A46" s="14"/>
      <c r="B46" s="15"/>
      <c r="C46" s="16"/>
      <c r="D46" s="17"/>
      <c r="E46" s="18">
        <f t="shared" si="1"/>
        <v>0</v>
      </c>
      <c r="F46" s="17"/>
      <c r="G46" s="18">
        <f t="shared" si="2"/>
        <v>0</v>
      </c>
    </row>
    <row r="47" ht="15.75" customHeight="1">
      <c r="A47" s="14"/>
      <c r="B47" s="15"/>
      <c r="C47" s="16"/>
      <c r="D47" s="17"/>
      <c r="E47" s="18">
        <f t="shared" si="1"/>
        <v>0</v>
      </c>
      <c r="F47" s="17"/>
      <c r="G47" s="18">
        <f t="shared" si="2"/>
        <v>0</v>
      </c>
    </row>
    <row r="48" ht="15.75" customHeight="1">
      <c r="A48" s="14"/>
      <c r="B48" s="15"/>
      <c r="C48" s="16"/>
      <c r="D48" s="17"/>
      <c r="E48" s="18">
        <f t="shared" si="1"/>
        <v>0</v>
      </c>
      <c r="F48" s="17"/>
      <c r="G48" s="18">
        <f t="shared" si="2"/>
        <v>0</v>
      </c>
    </row>
    <row r="49" ht="15.75" customHeight="1">
      <c r="A49" s="14"/>
      <c r="B49" s="15"/>
      <c r="C49" s="16"/>
      <c r="D49" s="17"/>
      <c r="E49" s="18">
        <f t="shared" si="1"/>
        <v>0</v>
      </c>
      <c r="F49" s="17"/>
      <c r="G49" s="18">
        <f t="shared" si="2"/>
        <v>0</v>
      </c>
    </row>
    <row r="50" ht="15.75" customHeight="1">
      <c r="A50" s="14"/>
      <c r="B50" s="15"/>
      <c r="C50" s="16"/>
      <c r="D50" s="17"/>
      <c r="E50" s="18">
        <f t="shared" si="1"/>
        <v>0</v>
      </c>
      <c r="F50" s="17"/>
      <c r="G50" s="18">
        <f t="shared" si="2"/>
        <v>0</v>
      </c>
    </row>
    <row r="51" ht="15.75" customHeight="1">
      <c r="A51" s="14"/>
      <c r="B51" s="15"/>
      <c r="C51" s="16"/>
      <c r="D51" s="17"/>
      <c r="E51" s="18">
        <f t="shared" si="1"/>
        <v>0</v>
      </c>
      <c r="F51" s="17"/>
      <c r="G51" s="18">
        <f t="shared" si="2"/>
        <v>0</v>
      </c>
    </row>
    <row r="52" ht="15.75" customHeight="1">
      <c r="A52" s="13" t="s">
        <v>54</v>
      </c>
      <c r="C52" s="16">
        <f>COUNTIF(C2:C51,"O")</f>
        <v>0</v>
      </c>
      <c r="E52" s="18">
        <f t="shared" ref="E52:G52" si="3">SUM(E2:E51)</f>
        <v>0</v>
      </c>
      <c r="F52" s="18">
        <f t="shared" si="3"/>
        <v>0</v>
      </c>
      <c r="G52" s="18">
        <f t="shared" si="3"/>
        <v>0</v>
      </c>
    </row>
    <row r="53" ht="15.75" customHeight="1">
      <c r="C53" s="16">
        <f>COUNTIF(C2:C51,"N")</f>
        <v>0</v>
      </c>
    </row>
    <row r="54" ht="15.75" customHeight="1">
      <c r="C54" s="16">
        <f>COUNTIF(C2:C51,"X")</f>
        <v>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71"/>
    <col customWidth="1" min="2" max="2" width="25.71"/>
    <col customWidth="1" min="3" max="3" width="22.71"/>
    <col customWidth="1" min="4" max="4" width="18.71"/>
    <col customWidth="1" min="5" max="7" width="22.71"/>
    <col customWidth="1" min="8" max="26" width="8.71"/>
  </cols>
  <sheetData>
    <row r="1" ht="30.0" customHeight="1">
      <c r="A1" s="13" t="s">
        <v>35</v>
      </c>
      <c r="B1" s="13" t="s">
        <v>36</v>
      </c>
      <c r="C1" s="13" t="s">
        <v>37</v>
      </c>
      <c r="D1" s="13" t="s">
        <v>38</v>
      </c>
      <c r="E1" s="13" t="s">
        <v>39</v>
      </c>
      <c r="F1" s="13" t="s">
        <v>40</v>
      </c>
      <c r="G1" s="13" t="s">
        <v>41</v>
      </c>
    </row>
    <row r="2">
      <c r="A2" s="14"/>
      <c r="B2" s="15"/>
      <c r="C2" s="16"/>
      <c r="D2" s="17"/>
      <c r="E2" s="18">
        <f t="shared" ref="E2:E51" si="1">IF(C2="O",1,IF(C2="N",0.5,0))*D2</f>
        <v>0</v>
      </c>
      <c r="F2" s="17"/>
      <c r="G2" s="18">
        <f t="shared" ref="G2:G51" si="2">IF(E2=0,0,E2-F2)</f>
        <v>0</v>
      </c>
    </row>
    <row r="3">
      <c r="A3" s="14"/>
      <c r="B3" s="15"/>
      <c r="C3" s="16"/>
      <c r="D3" s="17"/>
      <c r="E3" s="18">
        <f t="shared" si="1"/>
        <v>0</v>
      </c>
      <c r="F3" s="17"/>
      <c r="G3" s="18">
        <f t="shared" si="2"/>
        <v>0</v>
      </c>
    </row>
    <row r="4">
      <c r="A4" s="14"/>
      <c r="B4" s="15"/>
      <c r="C4" s="16"/>
      <c r="D4" s="17"/>
      <c r="E4" s="18">
        <f t="shared" si="1"/>
        <v>0</v>
      </c>
      <c r="F4" s="17"/>
      <c r="G4" s="18">
        <f t="shared" si="2"/>
        <v>0</v>
      </c>
    </row>
    <row r="5">
      <c r="A5" s="14"/>
      <c r="B5" s="15"/>
      <c r="C5" s="16"/>
      <c r="D5" s="17"/>
      <c r="E5" s="18">
        <f t="shared" si="1"/>
        <v>0</v>
      </c>
      <c r="F5" s="17"/>
      <c r="G5" s="18">
        <f t="shared" si="2"/>
        <v>0</v>
      </c>
    </row>
    <row r="6">
      <c r="A6" s="14"/>
      <c r="B6" s="15"/>
      <c r="C6" s="16"/>
      <c r="D6" s="17"/>
      <c r="E6" s="18">
        <f t="shared" si="1"/>
        <v>0</v>
      </c>
      <c r="F6" s="17"/>
      <c r="G6" s="18">
        <f t="shared" si="2"/>
        <v>0</v>
      </c>
    </row>
    <row r="7">
      <c r="A7" s="14"/>
      <c r="B7" s="15"/>
      <c r="C7" s="16"/>
      <c r="D7" s="17"/>
      <c r="E7" s="18">
        <f t="shared" si="1"/>
        <v>0</v>
      </c>
      <c r="F7" s="17"/>
      <c r="G7" s="18">
        <f t="shared" si="2"/>
        <v>0</v>
      </c>
    </row>
    <row r="8">
      <c r="A8" s="14"/>
      <c r="B8" s="15"/>
      <c r="C8" s="16"/>
      <c r="D8" s="17"/>
      <c r="E8" s="18">
        <f t="shared" si="1"/>
        <v>0</v>
      </c>
      <c r="F8" s="17"/>
      <c r="G8" s="18">
        <f t="shared" si="2"/>
        <v>0</v>
      </c>
    </row>
    <row r="9">
      <c r="A9" s="14"/>
      <c r="B9" s="15"/>
      <c r="C9" s="16"/>
      <c r="D9" s="17"/>
      <c r="E9" s="18">
        <f t="shared" si="1"/>
        <v>0</v>
      </c>
      <c r="F9" s="17"/>
      <c r="G9" s="18">
        <f t="shared" si="2"/>
        <v>0</v>
      </c>
    </row>
    <row r="10">
      <c r="A10" s="14"/>
      <c r="B10" s="15"/>
      <c r="C10" s="16"/>
      <c r="D10" s="17"/>
      <c r="E10" s="18">
        <f t="shared" si="1"/>
        <v>0</v>
      </c>
      <c r="F10" s="17"/>
      <c r="G10" s="18">
        <f t="shared" si="2"/>
        <v>0</v>
      </c>
    </row>
    <row r="11">
      <c r="A11" s="14"/>
      <c r="B11" s="15"/>
      <c r="C11" s="16"/>
      <c r="D11" s="17"/>
      <c r="E11" s="18">
        <f t="shared" si="1"/>
        <v>0</v>
      </c>
      <c r="F11" s="17"/>
      <c r="G11" s="18">
        <f t="shared" si="2"/>
        <v>0</v>
      </c>
    </row>
    <row r="12">
      <c r="A12" s="14"/>
      <c r="B12" s="15"/>
      <c r="C12" s="16"/>
      <c r="D12" s="17"/>
      <c r="E12" s="18">
        <f t="shared" si="1"/>
        <v>0</v>
      </c>
      <c r="F12" s="17"/>
      <c r="G12" s="18">
        <f t="shared" si="2"/>
        <v>0</v>
      </c>
    </row>
    <row r="13">
      <c r="A13" s="14"/>
      <c r="B13" s="15"/>
      <c r="C13" s="16"/>
      <c r="D13" s="17"/>
      <c r="E13" s="18">
        <f t="shared" si="1"/>
        <v>0</v>
      </c>
      <c r="F13" s="17"/>
      <c r="G13" s="18">
        <f t="shared" si="2"/>
        <v>0</v>
      </c>
    </row>
    <row r="14">
      <c r="A14" s="14"/>
      <c r="B14" s="15"/>
      <c r="C14" s="16"/>
      <c r="D14" s="17"/>
      <c r="E14" s="18">
        <f t="shared" si="1"/>
        <v>0</v>
      </c>
      <c r="F14" s="17"/>
      <c r="G14" s="18">
        <f t="shared" si="2"/>
        <v>0</v>
      </c>
    </row>
    <row r="15">
      <c r="A15" s="14"/>
      <c r="B15" s="15"/>
      <c r="C15" s="16"/>
      <c r="D15" s="17"/>
      <c r="E15" s="18">
        <f t="shared" si="1"/>
        <v>0</v>
      </c>
      <c r="F15" s="17"/>
      <c r="G15" s="18">
        <f t="shared" si="2"/>
        <v>0</v>
      </c>
    </row>
    <row r="16">
      <c r="A16" s="14"/>
      <c r="B16" s="15"/>
      <c r="C16" s="16"/>
      <c r="D16" s="17"/>
      <c r="E16" s="18">
        <f t="shared" si="1"/>
        <v>0</v>
      </c>
      <c r="F16" s="17"/>
      <c r="G16" s="18">
        <f t="shared" si="2"/>
        <v>0</v>
      </c>
    </row>
    <row r="17">
      <c r="A17" s="14"/>
      <c r="B17" s="15"/>
      <c r="C17" s="16"/>
      <c r="D17" s="17"/>
      <c r="E17" s="18">
        <f t="shared" si="1"/>
        <v>0</v>
      </c>
      <c r="F17" s="17"/>
      <c r="G17" s="18">
        <f t="shared" si="2"/>
        <v>0</v>
      </c>
    </row>
    <row r="18">
      <c r="A18" s="14"/>
      <c r="B18" s="15"/>
      <c r="C18" s="16"/>
      <c r="D18" s="17"/>
      <c r="E18" s="18">
        <f t="shared" si="1"/>
        <v>0</v>
      </c>
      <c r="F18" s="17"/>
      <c r="G18" s="18">
        <f t="shared" si="2"/>
        <v>0</v>
      </c>
    </row>
    <row r="19">
      <c r="A19" s="14"/>
      <c r="B19" s="15"/>
      <c r="C19" s="16"/>
      <c r="D19" s="17"/>
      <c r="E19" s="18">
        <f t="shared" si="1"/>
        <v>0</v>
      </c>
      <c r="F19" s="17"/>
      <c r="G19" s="18">
        <f t="shared" si="2"/>
        <v>0</v>
      </c>
    </row>
    <row r="20">
      <c r="A20" s="14"/>
      <c r="B20" s="15"/>
      <c r="C20" s="16"/>
      <c r="D20" s="17"/>
      <c r="E20" s="18">
        <f t="shared" si="1"/>
        <v>0</v>
      </c>
      <c r="F20" s="17"/>
      <c r="G20" s="18">
        <f t="shared" si="2"/>
        <v>0</v>
      </c>
    </row>
    <row r="21" ht="15.75" customHeight="1">
      <c r="A21" s="14"/>
      <c r="B21" s="15"/>
      <c r="C21" s="16"/>
      <c r="D21" s="17"/>
      <c r="E21" s="18">
        <f t="shared" si="1"/>
        <v>0</v>
      </c>
      <c r="F21" s="17"/>
      <c r="G21" s="18">
        <f t="shared" si="2"/>
        <v>0</v>
      </c>
    </row>
    <row r="22" ht="15.75" customHeight="1">
      <c r="A22" s="14"/>
      <c r="B22" s="15"/>
      <c r="C22" s="16"/>
      <c r="D22" s="17"/>
      <c r="E22" s="18">
        <f t="shared" si="1"/>
        <v>0</v>
      </c>
      <c r="F22" s="17"/>
      <c r="G22" s="18">
        <f t="shared" si="2"/>
        <v>0</v>
      </c>
    </row>
    <row r="23" ht="15.75" customHeight="1">
      <c r="A23" s="14"/>
      <c r="B23" s="15"/>
      <c r="C23" s="16"/>
      <c r="D23" s="17"/>
      <c r="E23" s="18">
        <f t="shared" si="1"/>
        <v>0</v>
      </c>
      <c r="F23" s="17"/>
      <c r="G23" s="18">
        <f t="shared" si="2"/>
        <v>0</v>
      </c>
    </row>
    <row r="24" ht="15.75" customHeight="1">
      <c r="A24" s="14"/>
      <c r="B24" s="15"/>
      <c r="C24" s="16"/>
      <c r="D24" s="17"/>
      <c r="E24" s="18">
        <f t="shared" si="1"/>
        <v>0</v>
      </c>
      <c r="F24" s="17"/>
      <c r="G24" s="18">
        <f t="shared" si="2"/>
        <v>0</v>
      </c>
    </row>
    <row r="25" ht="15.75" customHeight="1">
      <c r="A25" s="14"/>
      <c r="B25" s="15"/>
      <c r="C25" s="16"/>
      <c r="D25" s="17"/>
      <c r="E25" s="18">
        <f t="shared" si="1"/>
        <v>0</v>
      </c>
      <c r="F25" s="17"/>
      <c r="G25" s="18">
        <f t="shared" si="2"/>
        <v>0</v>
      </c>
    </row>
    <row r="26" ht="15.75" customHeight="1">
      <c r="A26" s="14"/>
      <c r="B26" s="15"/>
      <c r="C26" s="16"/>
      <c r="D26" s="17"/>
      <c r="E26" s="18">
        <f t="shared" si="1"/>
        <v>0</v>
      </c>
      <c r="F26" s="17"/>
      <c r="G26" s="18">
        <f t="shared" si="2"/>
        <v>0</v>
      </c>
    </row>
    <row r="27" ht="15.75" customHeight="1">
      <c r="A27" s="14"/>
      <c r="B27" s="15"/>
      <c r="C27" s="16"/>
      <c r="D27" s="17"/>
      <c r="E27" s="18">
        <f t="shared" si="1"/>
        <v>0</v>
      </c>
      <c r="F27" s="17"/>
      <c r="G27" s="18">
        <f t="shared" si="2"/>
        <v>0</v>
      </c>
    </row>
    <row r="28" ht="15.75" customHeight="1">
      <c r="A28" s="14"/>
      <c r="B28" s="15"/>
      <c r="C28" s="16"/>
      <c r="D28" s="17"/>
      <c r="E28" s="18">
        <f t="shared" si="1"/>
        <v>0</v>
      </c>
      <c r="F28" s="17"/>
      <c r="G28" s="18">
        <f t="shared" si="2"/>
        <v>0</v>
      </c>
    </row>
    <row r="29" ht="15.75" customHeight="1">
      <c r="A29" s="14"/>
      <c r="B29" s="15"/>
      <c r="C29" s="16"/>
      <c r="D29" s="17"/>
      <c r="E29" s="18">
        <f t="shared" si="1"/>
        <v>0</v>
      </c>
      <c r="F29" s="17"/>
      <c r="G29" s="18">
        <f t="shared" si="2"/>
        <v>0</v>
      </c>
    </row>
    <row r="30" ht="15.75" customHeight="1">
      <c r="A30" s="14"/>
      <c r="B30" s="15"/>
      <c r="C30" s="16"/>
      <c r="D30" s="17"/>
      <c r="E30" s="18">
        <f t="shared" si="1"/>
        <v>0</v>
      </c>
      <c r="F30" s="17"/>
      <c r="G30" s="18">
        <f t="shared" si="2"/>
        <v>0</v>
      </c>
    </row>
    <row r="31" ht="15.75" customHeight="1">
      <c r="A31" s="14"/>
      <c r="B31" s="15"/>
      <c r="C31" s="16"/>
      <c r="D31" s="17"/>
      <c r="E31" s="18">
        <f t="shared" si="1"/>
        <v>0</v>
      </c>
      <c r="F31" s="17"/>
      <c r="G31" s="18">
        <f t="shared" si="2"/>
        <v>0</v>
      </c>
    </row>
    <row r="32" ht="15.75" customHeight="1">
      <c r="A32" s="14"/>
      <c r="B32" s="15"/>
      <c r="C32" s="16"/>
      <c r="D32" s="17"/>
      <c r="E32" s="18">
        <f t="shared" si="1"/>
        <v>0</v>
      </c>
      <c r="F32" s="17"/>
      <c r="G32" s="18">
        <f t="shared" si="2"/>
        <v>0</v>
      </c>
    </row>
    <row r="33" ht="15.75" customHeight="1">
      <c r="A33" s="14"/>
      <c r="B33" s="15"/>
      <c r="C33" s="16"/>
      <c r="D33" s="17"/>
      <c r="E33" s="18">
        <f t="shared" si="1"/>
        <v>0</v>
      </c>
      <c r="F33" s="17"/>
      <c r="G33" s="18">
        <f t="shared" si="2"/>
        <v>0</v>
      </c>
    </row>
    <row r="34" ht="15.75" customHeight="1">
      <c r="A34" s="14"/>
      <c r="B34" s="15"/>
      <c r="C34" s="16"/>
      <c r="D34" s="17"/>
      <c r="E34" s="18">
        <f t="shared" si="1"/>
        <v>0</v>
      </c>
      <c r="F34" s="17"/>
      <c r="G34" s="18">
        <f t="shared" si="2"/>
        <v>0</v>
      </c>
    </row>
    <row r="35" ht="15.75" customHeight="1">
      <c r="A35" s="14"/>
      <c r="B35" s="15"/>
      <c r="C35" s="16"/>
      <c r="D35" s="17"/>
      <c r="E35" s="18">
        <f t="shared" si="1"/>
        <v>0</v>
      </c>
      <c r="F35" s="17"/>
      <c r="G35" s="18">
        <f t="shared" si="2"/>
        <v>0</v>
      </c>
    </row>
    <row r="36" ht="15.75" customHeight="1">
      <c r="A36" s="14"/>
      <c r="B36" s="15"/>
      <c r="C36" s="16"/>
      <c r="D36" s="17"/>
      <c r="E36" s="18">
        <f t="shared" si="1"/>
        <v>0</v>
      </c>
      <c r="F36" s="17"/>
      <c r="G36" s="18">
        <f t="shared" si="2"/>
        <v>0</v>
      </c>
    </row>
    <row r="37" ht="15.75" customHeight="1">
      <c r="A37" s="14"/>
      <c r="B37" s="15"/>
      <c r="C37" s="16"/>
      <c r="D37" s="17"/>
      <c r="E37" s="18">
        <f t="shared" si="1"/>
        <v>0</v>
      </c>
      <c r="F37" s="17"/>
      <c r="G37" s="18">
        <f t="shared" si="2"/>
        <v>0</v>
      </c>
    </row>
    <row r="38" ht="15.75" customHeight="1">
      <c r="A38" s="14"/>
      <c r="B38" s="15"/>
      <c r="C38" s="16"/>
      <c r="D38" s="17"/>
      <c r="E38" s="18">
        <f t="shared" si="1"/>
        <v>0</v>
      </c>
      <c r="F38" s="17"/>
      <c r="G38" s="18">
        <f t="shared" si="2"/>
        <v>0</v>
      </c>
    </row>
    <row r="39" ht="15.75" customHeight="1">
      <c r="A39" s="14"/>
      <c r="B39" s="15"/>
      <c r="C39" s="16"/>
      <c r="D39" s="17"/>
      <c r="E39" s="18">
        <f t="shared" si="1"/>
        <v>0</v>
      </c>
      <c r="F39" s="17"/>
      <c r="G39" s="18">
        <f t="shared" si="2"/>
        <v>0</v>
      </c>
    </row>
    <row r="40" ht="15.75" customHeight="1">
      <c r="A40" s="14"/>
      <c r="B40" s="15"/>
      <c r="C40" s="16"/>
      <c r="D40" s="17"/>
      <c r="E40" s="18">
        <f t="shared" si="1"/>
        <v>0</v>
      </c>
      <c r="F40" s="17"/>
      <c r="G40" s="18">
        <f t="shared" si="2"/>
        <v>0</v>
      </c>
    </row>
    <row r="41" ht="15.75" customHeight="1">
      <c r="A41" s="14"/>
      <c r="B41" s="15"/>
      <c r="C41" s="16"/>
      <c r="D41" s="17"/>
      <c r="E41" s="18">
        <f t="shared" si="1"/>
        <v>0</v>
      </c>
      <c r="F41" s="17"/>
      <c r="G41" s="18">
        <f t="shared" si="2"/>
        <v>0</v>
      </c>
    </row>
    <row r="42" ht="15.75" customHeight="1">
      <c r="A42" s="14"/>
      <c r="B42" s="15"/>
      <c r="C42" s="16"/>
      <c r="D42" s="17"/>
      <c r="E42" s="18">
        <f t="shared" si="1"/>
        <v>0</v>
      </c>
      <c r="F42" s="17"/>
      <c r="G42" s="18">
        <f t="shared" si="2"/>
        <v>0</v>
      </c>
    </row>
    <row r="43" ht="15.75" customHeight="1">
      <c r="A43" s="14"/>
      <c r="B43" s="15"/>
      <c r="C43" s="16"/>
      <c r="D43" s="17"/>
      <c r="E43" s="18">
        <f t="shared" si="1"/>
        <v>0</v>
      </c>
      <c r="F43" s="17"/>
      <c r="G43" s="18">
        <f t="shared" si="2"/>
        <v>0</v>
      </c>
    </row>
    <row r="44" ht="15.75" customHeight="1">
      <c r="A44" s="14"/>
      <c r="B44" s="15"/>
      <c r="C44" s="16"/>
      <c r="D44" s="17"/>
      <c r="E44" s="18">
        <f t="shared" si="1"/>
        <v>0</v>
      </c>
      <c r="F44" s="17"/>
      <c r="G44" s="18">
        <f t="shared" si="2"/>
        <v>0</v>
      </c>
    </row>
    <row r="45" ht="15.75" customHeight="1">
      <c r="A45" s="14"/>
      <c r="B45" s="15"/>
      <c r="C45" s="16"/>
      <c r="D45" s="17"/>
      <c r="E45" s="18">
        <f t="shared" si="1"/>
        <v>0</v>
      </c>
      <c r="F45" s="17"/>
      <c r="G45" s="18">
        <f t="shared" si="2"/>
        <v>0</v>
      </c>
    </row>
    <row r="46" ht="15.75" customHeight="1">
      <c r="A46" s="14"/>
      <c r="B46" s="15"/>
      <c r="C46" s="16"/>
      <c r="D46" s="17"/>
      <c r="E46" s="18">
        <f t="shared" si="1"/>
        <v>0</v>
      </c>
      <c r="F46" s="17"/>
      <c r="G46" s="18">
        <f t="shared" si="2"/>
        <v>0</v>
      </c>
    </row>
    <row r="47" ht="15.75" customHeight="1">
      <c r="A47" s="14"/>
      <c r="B47" s="15"/>
      <c r="C47" s="16"/>
      <c r="D47" s="17"/>
      <c r="E47" s="18">
        <f t="shared" si="1"/>
        <v>0</v>
      </c>
      <c r="F47" s="17"/>
      <c r="G47" s="18">
        <f t="shared" si="2"/>
        <v>0</v>
      </c>
    </row>
    <row r="48" ht="15.75" customHeight="1">
      <c r="A48" s="14"/>
      <c r="B48" s="15"/>
      <c r="C48" s="16"/>
      <c r="D48" s="17"/>
      <c r="E48" s="18">
        <f t="shared" si="1"/>
        <v>0</v>
      </c>
      <c r="F48" s="17"/>
      <c r="G48" s="18">
        <f t="shared" si="2"/>
        <v>0</v>
      </c>
    </row>
    <row r="49" ht="15.75" customHeight="1">
      <c r="A49" s="14"/>
      <c r="B49" s="15"/>
      <c r="C49" s="16"/>
      <c r="D49" s="17"/>
      <c r="E49" s="18">
        <f t="shared" si="1"/>
        <v>0</v>
      </c>
      <c r="F49" s="17"/>
      <c r="G49" s="18">
        <f t="shared" si="2"/>
        <v>0</v>
      </c>
    </row>
    <row r="50" ht="15.75" customHeight="1">
      <c r="A50" s="14"/>
      <c r="B50" s="15"/>
      <c r="C50" s="16"/>
      <c r="D50" s="17"/>
      <c r="E50" s="18">
        <f t="shared" si="1"/>
        <v>0</v>
      </c>
      <c r="F50" s="17"/>
      <c r="G50" s="18">
        <f t="shared" si="2"/>
        <v>0</v>
      </c>
    </row>
    <row r="51" ht="15.75" customHeight="1">
      <c r="A51" s="14"/>
      <c r="B51" s="15"/>
      <c r="C51" s="16"/>
      <c r="D51" s="17"/>
      <c r="E51" s="18">
        <f t="shared" si="1"/>
        <v>0</v>
      </c>
      <c r="F51" s="17"/>
      <c r="G51" s="18">
        <f t="shared" si="2"/>
        <v>0</v>
      </c>
    </row>
    <row r="52" ht="15.75" customHeight="1">
      <c r="A52" s="13" t="s">
        <v>55</v>
      </c>
      <c r="C52" s="16">
        <f>COUNTIF(C2:C51,"O")</f>
        <v>0</v>
      </c>
      <c r="E52" s="18">
        <f t="shared" ref="E52:G52" si="3">SUM(E2:E51)</f>
        <v>0</v>
      </c>
      <c r="F52" s="18">
        <f t="shared" si="3"/>
        <v>0</v>
      </c>
      <c r="G52" s="18">
        <f t="shared" si="3"/>
        <v>0</v>
      </c>
    </row>
    <row r="53" ht="15.75" customHeight="1">
      <c r="C53" s="16">
        <f>COUNTIF(C2:C51,"N")</f>
        <v>0</v>
      </c>
    </row>
    <row r="54" ht="15.75" customHeight="1">
      <c r="C54" s="16">
        <f>COUNTIF(C2:C51,"X")</f>
        <v>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71"/>
    <col customWidth="1" min="2" max="2" width="25.71"/>
    <col customWidth="1" min="3" max="3" width="22.71"/>
    <col customWidth="1" min="4" max="4" width="18.71"/>
    <col customWidth="1" min="5" max="7" width="22.71"/>
    <col customWidth="1" min="8" max="26" width="8.71"/>
  </cols>
  <sheetData>
    <row r="1" ht="30.0" customHeight="1">
      <c r="A1" s="13" t="s">
        <v>35</v>
      </c>
      <c r="B1" s="13" t="s">
        <v>36</v>
      </c>
      <c r="C1" s="13" t="s">
        <v>37</v>
      </c>
      <c r="D1" s="13" t="s">
        <v>38</v>
      </c>
      <c r="E1" s="13" t="s">
        <v>39</v>
      </c>
      <c r="F1" s="13" t="s">
        <v>40</v>
      </c>
      <c r="G1" s="13" t="s">
        <v>41</v>
      </c>
    </row>
    <row r="2">
      <c r="A2" s="14"/>
      <c r="B2" s="15"/>
      <c r="C2" s="16"/>
      <c r="D2" s="17"/>
      <c r="E2" s="18">
        <f t="shared" ref="E2:E51" si="1">IF(C2="O",1,IF(C2="N",0.5,0))*D2</f>
        <v>0</v>
      </c>
      <c r="F2" s="17"/>
      <c r="G2" s="18">
        <f t="shared" ref="G2:G51" si="2">IF(E2=0,0,E2-F2)</f>
        <v>0</v>
      </c>
    </row>
    <row r="3">
      <c r="A3" s="14"/>
      <c r="B3" s="15"/>
      <c r="C3" s="16"/>
      <c r="D3" s="17"/>
      <c r="E3" s="18">
        <f t="shared" si="1"/>
        <v>0</v>
      </c>
      <c r="F3" s="17"/>
      <c r="G3" s="18">
        <f t="shared" si="2"/>
        <v>0</v>
      </c>
    </row>
    <row r="4">
      <c r="A4" s="14"/>
      <c r="B4" s="15"/>
      <c r="C4" s="16"/>
      <c r="D4" s="17"/>
      <c r="E4" s="18">
        <f t="shared" si="1"/>
        <v>0</v>
      </c>
      <c r="F4" s="17"/>
      <c r="G4" s="18">
        <f t="shared" si="2"/>
        <v>0</v>
      </c>
    </row>
    <row r="5">
      <c r="A5" s="14"/>
      <c r="B5" s="15"/>
      <c r="C5" s="16"/>
      <c r="D5" s="17"/>
      <c r="E5" s="18">
        <f t="shared" si="1"/>
        <v>0</v>
      </c>
      <c r="F5" s="17"/>
      <c r="G5" s="18">
        <f t="shared" si="2"/>
        <v>0</v>
      </c>
    </row>
    <row r="6">
      <c r="A6" s="14"/>
      <c r="B6" s="15"/>
      <c r="C6" s="16"/>
      <c r="D6" s="17"/>
      <c r="E6" s="18">
        <f t="shared" si="1"/>
        <v>0</v>
      </c>
      <c r="F6" s="17"/>
      <c r="G6" s="18">
        <f t="shared" si="2"/>
        <v>0</v>
      </c>
    </row>
    <row r="7">
      <c r="A7" s="14"/>
      <c r="B7" s="15"/>
      <c r="C7" s="16"/>
      <c r="D7" s="17"/>
      <c r="E7" s="18">
        <f t="shared" si="1"/>
        <v>0</v>
      </c>
      <c r="F7" s="17"/>
      <c r="G7" s="18">
        <f t="shared" si="2"/>
        <v>0</v>
      </c>
    </row>
    <row r="8">
      <c r="A8" s="14"/>
      <c r="B8" s="15"/>
      <c r="C8" s="16"/>
      <c r="D8" s="17"/>
      <c r="E8" s="18">
        <f t="shared" si="1"/>
        <v>0</v>
      </c>
      <c r="F8" s="17"/>
      <c r="G8" s="18">
        <f t="shared" si="2"/>
        <v>0</v>
      </c>
    </row>
    <row r="9">
      <c r="A9" s="14"/>
      <c r="B9" s="15"/>
      <c r="C9" s="16"/>
      <c r="D9" s="17"/>
      <c r="E9" s="18">
        <f t="shared" si="1"/>
        <v>0</v>
      </c>
      <c r="F9" s="17"/>
      <c r="G9" s="18">
        <f t="shared" si="2"/>
        <v>0</v>
      </c>
    </row>
    <row r="10">
      <c r="A10" s="14"/>
      <c r="B10" s="15"/>
      <c r="C10" s="16"/>
      <c r="D10" s="17"/>
      <c r="E10" s="18">
        <f t="shared" si="1"/>
        <v>0</v>
      </c>
      <c r="F10" s="17"/>
      <c r="G10" s="18">
        <f t="shared" si="2"/>
        <v>0</v>
      </c>
    </row>
    <row r="11">
      <c r="A11" s="14"/>
      <c r="B11" s="15"/>
      <c r="C11" s="16"/>
      <c r="D11" s="17"/>
      <c r="E11" s="18">
        <f t="shared" si="1"/>
        <v>0</v>
      </c>
      <c r="F11" s="17"/>
      <c r="G11" s="18">
        <f t="shared" si="2"/>
        <v>0</v>
      </c>
    </row>
    <row r="12">
      <c r="A12" s="14"/>
      <c r="B12" s="15"/>
      <c r="C12" s="16"/>
      <c r="D12" s="17"/>
      <c r="E12" s="18">
        <f t="shared" si="1"/>
        <v>0</v>
      </c>
      <c r="F12" s="17"/>
      <c r="G12" s="18">
        <f t="shared" si="2"/>
        <v>0</v>
      </c>
    </row>
    <row r="13">
      <c r="A13" s="14"/>
      <c r="B13" s="15"/>
      <c r="C13" s="16"/>
      <c r="D13" s="17"/>
      <c r="E13" s="18">
        <f t="shared" si="1"/>
        <v>0</v>
      </c>
      <c r="F13" s="17"/>
      <c r="G13" s="18">
        <f t="shared" si="2"/>
        <v>0</v>
      </c>
    </row>
    <row r="14">
      <c r="A14" s="14"/>
      <c r="B14" s="15"/>
      <c r="C14" s="16"/>
      <c r="D14" s="17"/>
      <c r="E14" s="18">
        <f t="shared" si="1"/>
        <v>0</v>
      </c>
      <c r="F14" s="17"/>
      <c r="G14" s="18">
        <f t="shared" si="2"/>
        <v>0</v>
      </c>
    </row>
    <row r="15">
      <c r="A15" s="14"/>
      <c r="B15" s="15"/>
      <c r="C15" s="16"/>
      <c r="D15" s="17"/>
      <c r="E15" s="18">
        <f t="shared" si="1"/>
        <v>0</v>
      </c>
      <c r="F15" s="17"/>
      <c r="G15" s="18">
        <f t="shared" si="2"/>
        <v>0</v>
      </c>
    </row>
    <row r="16">
      <c r="A16" s="14"/>
      <c r="B16" s="15"/>
      <c r="C16" s="16"/>
      <c r="D16" s="17"/>
      <c r="E16" s="18">
        <f t="shared" si="1"/>
        <v>0</v>
      </c>
      <c r="F16" s="17"/>
      <c r="G16" s="18">
        <f t="shared" si="2"/>
        <v>0</v>
      </c>
    </row>
    <row r="17">
      <c r="A17" s="14"/>
      <c r="B17" s="15"/>
      <c r="C17" s="16"/>
      <c r="D17" s="17"/>
      <c r="E17" s="18">
        <f t="shared" si="1"/>
        <v>0</v>
      </c>
      <c r="F17" s="17"/>
      <c r="G17" s="18">
        <f t="shared" si="2"/>
        <v>0</v>
      </c>
    </row>
    <row r="18">
      <c r="A18" s="14"/>
      <c r="B18" s="15"/>
      <c r="C18" s="16"/>
      <c r="D18" s="17"/>
      <c r="E18" s="18">
        <f t="shared" si="1"/>
        <v>0</v>
      </c>
      <c r="F18" s="17"/>
      <c r="G18" s="18">
        <f t="shared" si="2"/>
        <v>0</v>
      </c>
    </row>
    <row r="19">
      <c r="A19" s="14"/>
      <c r="B19" s="15"/>
      <c r="C19" s="16"/>
      <c r="D19" s="17"/>
      <c r="E19" s="18">
        <f t="shared" si="1"/>
        <v>0</v>
      </c>
      <c r="F19" s="17"/>
      <c r="G19" s="18">
        <f t="shared" si="2"/>
        <v>0</v>
      </c>
    </row>
    <row r="20">
      <c r="A20" s="14"/>
      <c r="B20" s="15"/>
      <c r="C20" s="16"/>
      <c r="D20" s="17"/>
      <c r="E20" s="18">
        <f t="shared" si="1"/>
        <v>0</v>
      </c>
      <c r="F20" s="17"/>
      <c r="G20" s="18">
        <f t="shared" si="2"/>
        <v>0</v>
      </c>
    </row>
    <row r="21" ht="15.75" customHeight="1">
      <c r="A21" s="14"/>
      <c r="B21" s="15"/>
      <c r="C21" s="16"/>
      <c r="D21" s="17"/>
      <c r="E21" s="18">
        <f t="shared" si="1"/>
        <v>0</v>
      </c>
      <c r="F21" s="17"/>
      <c r="G21" s="18">
        <f t="shared" si="2"/>
        <v>0</v>
      </c>
    </row>
    <row r="22" ht="15.75" customHeight="1">
      <c r="A22" s="14"/>
      <c r="B22" s="15"/>
      <c r="C22" s="16"/>
      <c r="D22" s="17"/>
      <c r="E22" s="18">
        <f t="shared" si="1"/>
        <v>0</v>
      </c>
      <c r="F22" s="17"/>
      <c r="G22" s="18">
        <f t="shared" si="2"/>
        <v>0</v>
      </c>
    </row>
    <row r="23" ht="15.75" customHeight="1">
      <c r="A23" s="14"/>
      <c r="B23" s="15"/>
      <c r="C23" s="16"/>
      <c r="D23" s="17"/>
      <c r="E23" s="18">
        <f t="shared" si="1"/>
        <v>0</v>
      </c>
      <c r="F23" s="17"/>
      <c r="G23" s="18">
        <f t="shared" si="2"/>
        <v>0</v>
      </c>
    </row>
    <row r="24" ht="15.75" customHeight="1">
      <c r="A24" s="14"/>
      <c r="B24" s="15"/>
      <c r="C24" s="16"/>
      <c r="D24" s="17"/>
      <c r="E24" s="18">
        <f t="shared" si="1"/>
        <v>0</v>
      </c>
      <c r="F24" s="17"/>
      <c r="G24" s="18">
        <f t="shared" si="2"/>
        <v>0</v>
      </c>
    </row>
    <row r="25" ht="15.75" customHeight="1">
      <c r="A25" s="14"/>
      <c r="B25" s="15"/>
      <c r="C25" s="16"/>
      <c r="D25" s="17"/>
      <c r="E25" s="18">
        <f t="shared" si="1"/>
        <v>0</v>
      </c>
      <c r="F25" s="17"/>
      <c r="G25" s="18">
        <f t="shared" si="2"/>
        <v>0</v>
      </c>
    </row>
    <row r="26" ht="15.75" customHeight="1">
      <c r="A26" s="14"/>
      <c r="B26" s="15"/>
      <c r="C26" s="16"/>
      <c r="D26" s="17"/>
      <c r="E26" s="18">
        <f t="shared" si="1"/>
        <v>0</v>
      </c>
      <c r="F26" s="17"/>
      <c r="G26" s="18">
        <f t="shared" si="2"/>
        <v>0</v>
      </c>
    </row>
    <row r="27" ht="15.75" customHeight="1">
      <c r="A27" s="14"/>
      <c r="B27" s="15"/>
      <c r="C27" s="16"/>
      <c r="D27" s="17"/>
      <c r="E27" s="18">
        <f t="shared" si="1"/>
        <v>0</v>
      </c>
      <c r="F27" s="17"/>
      <c r="G27" s="18">
        <f t="shared" si="2"/>
        <v>0</v>
      </c>
    </row>
    <row r="28" ht="15.75" customHeight="1">
      <c r="A28" s="14"/>
      <c r="B28" s="15"/>
      <c r="C28" s="16"/>
      <c r="D28" s="17"/>
      <c r="E28" s="18">
        <f t="shared" si="1"/>
        <v>0</v>
      </c>
      <c r="F28" s="17"/>
      <c r="G28" s="18">
        <f t="shared" si="2"/>
        <v>0</v>
      </c>
    </row>
    <row r="29" ht="15.75" customHeight="1">
      <c r="A29" s="14"/>
      <c r="B29" s="15"/>
      <c r="C29" s="16"/>
      <c r="D29" s="17"/>
      <c r="E29" s="18">
        <f t="shared" si="1"/>
        <v>0</v>
      </c>
      <c r="F29" s="17"/>
      <c r="G29" s="18">
        <f t="shared" si="2"/>
        <v>0</v>
      </c>
    </row>
    <row r="30" ht="15.75" customHeight="1">
      <c r="A30" s="14"/>
      <c r="B30" s="15"/>
      <c r="C30" s="16"/>
      <c r="D30" s="17"/>
      <c r="E30" s="18">
        <f t="shared" si="1"/>
        <v>0</v>
      </c>
      <c r="F30" s="17"/>
      <c r="G30" s="18">
        <f t="shared" si="2"/>
        <v>0</v>
      </c>
    </row>
    <row r="31" ht="15.75" customHeight="1">
      <c r="A31" s="14"/>
      <c r="B31" s="15"/>
      <c r="C31" s="16"/>
      <c r="D31" s="17"/>
      <c r="E31" s="18">
        <f t="shared" si="1"/>
        <v>0</v>
      </c>
      <c r="F31" s="17"/>
      <c r="G31" s="18">
        <f t="shared" si="2"/>
        <v>0</v>
      </c>
    </row>
    <row r="32" ht="15.75" customHeight="1">
      <c r="A32" s="14"/>
      <c r="B32" s="15"/>
      <c r="C32" s="16"/>
      <c r="D32" s="17"/>
      <c r="E32" s="18">
        <f t="shared" si="1"/>
        <v>0</v>
      </c>
      <c r="F32" s="17"/>
      <c r="G32" s="18">
        <f t="shared" si="2"/>
        <v>0</v>
      </c>
    </row>
    <row r="33" ht="15.75" customHeight="1">
      <c r="A33" s="14"/>
      <c r="B33" s="15"/>
      <c r="C33" s="16"/>
      <c r="D33" s="17"/>
      <c r="E33" s="18">
        <f t="shared" si="1"/>
        <v>0</v>
      </c>
      <c r="F33" s="17"/>
      <c r="G33" s="18">
        <f t="shared" si="2"/>
        <v>0</v>
      </c>
    </row>
    <row r="34" ht="15.75" customHeight="1">
      <c r="A34" s="14"/>
      <c r="B34" s="15"/>
      <c r="C34" s="16"/>
      <c r="D34" s="17"/>
      <c r="E34" s="18">
        <f t="shared" si="1"/>
        <v>0</v>
      </c>
      <c r="F34" s="17"/>
      <c r="G34" s="18">
        <f t="shared" si="2"/>
        <v>0</v>
      </c>
    </row>
    <row r="35" ht="15.75" customHeight="1">
      <c r="A35" s="14"/>
      <c r="B35" s="15"/>
      <c r="C35" s="16"/>
      <c r="D35" s="17"/>
      <c r="E35" s="18">
        <f t="shared" si="1"/>
        <v>0</v>
      </c>
      <c r="F35" s="17"/>
      <c r="G35" s="18">
        <f t="shared" si="2"/>
        <v>0</v>
      </c>
    </row>
    <row r="36" ht="15.75" customHeight="1">
      <c r="A36" s="14"/>
      <c r="B36" s="15"/>
      <c r="C36" s="16"/>
      <c r="D36" s="17"/>
      <c r="E36" s="18">
        <f t="shared" si="1"/>
        <v>0</v>
      </c>
      <c r="F36" s="17"/>
      <c r="G36" s="18">
        <f t="shared" si="2"/>
        <v>0</v>
      </c>
    </row>
    <row r="37" ht="15.75" customHeight="1">
      <c r="A37" s="14"/>
      <c r="B37" s="15"/>
      <c r="C37" s="16"/>
      <c r="D37" s="17"/>
      <c r="E37" s="18">
        <f t="shared" si="1"/>
        <v>0</v>
      </c>
      <c r="F37" s="17"/>
      <c r="G37" s="18">
        <f t="shared" si="2"/>
        <v>0</v>
      </c>
    </row>
    <row r="38" ht="15.75" customHeight="1">
      <c r="A38" s="14"/>
      <c r="B38" s="15"/>
      <c r="C38" s="16"/>
      <c r="D38" s="17"/>
      <c r="E38" s="18">
        <f t="shared" si="1"/>
        <v>0</v>
      </c>
      <c r="F38" s="17"/>
      <c r="G38" s="18">
        <f t="shared" si="2"/>
        <v>0</v>
      </c>
    </row>
    <row r="39" ht="15.75" customHeight="1">
      <c r="A39" s="14"/>
      <c r="B39" s="15"/>
      <c r="C39" s="16"/>
      <c r="D39" s="17"/>
      <c r="E39" s="18">
        <f t="shared" si="1"/>
        <v>0</v>
      </c>
      <c r="F39" s="17"/>
      <c r="G39" s="18">
        <f t="shared" si="2"/>
        <v>0</v>
      </c>
    </row>
    <row r="40" ht="15.75" customHeight="1">
      <c r="A40" s="14"/>
      <c r="B40" s="15"/>
      <c r="C40" s="16"/>
      <c r="D40" s="17"/>
      <c r="E40" s="18">
        <f t="shared" si="1"/>
        <v>0</v>
      </c>
      <c r="F40" s="17"/>
      <c r="G40" s="18">
        <f t="shared" si="2"/>
        <v>0</v>
      </c>
    </row>
    <row r="41" ht="15.75" customHeight="1">
      <c r="A41" s="14"/>
      <c r="B41" s="15"/>
      <c r="C41" s="16"/>
      <c r="D41" s="17"/>
      <c r="E41" s="18">
        <f t="shared" si="1"/>
        <v>0</v>
      </c>
      <c r="F41" s="17"/>
      <c r="G41" s="18">
        <f t="shared" si="2"/>
        <v>0</v>
      </c>
    </row>
    <row r="42" ht="15.75" customHeight="1">
      <c r="A42" s="14"/>
      <c r="B42" s="15"/>
      <c r="C42" s="16"/>
      <c r="D42" s="17"/>
      <c r="E42" s="18">
        <f t="shared" si="1"/>
        <v>0</v>
      </c>
      <c r="F42" s="17"/>
      <c r="G42" s="18">
        <f t="shared" si="2"/>
        <v>0</v>
      </c>
    </row>
    <row r="43" ht="15.75" customHeight="1">
      <c r="A43" s="14"/>
      <c r="B43" s="15"/>
      <c r="C43" s="16"/>
      <c r="D43" s="17"/>
      <c r="E43" s="18">
        <f t="shared" si="1"/>
        <v>0</v>
      </c>
      <c r="F43" s="17"/>
      <c r="G43" s="18">
        <f t="shared" si="2"/>
        <v>0</v>
      </c>
    </row>
    <row r="44" ht="15.75" customHeight="1">
      <c r="A44" s="14"/>
      <c r="B44" s="15"/>
      <c r="C44" s="16"/>
      <c r="D44" s="17"/>
      <c r="E44" s="18">
        <f t="shared" si="1"/>
        <v>0</v>
      </c>
      <c r="F44" s="17"/>
      <c r="G44" s="18">
        <f t="shared" si="2"/>
        <v>0</v>
      </c>
    </row>
    <row r="45" ht="15.75" customHeight="1">
      <c r="A45" s="14"/>
      <c r="B45" s="15"/>
      <c r="C45" s="16"/>
      <c r="D45" s="17"/>
      <c r="E45" s="18">
        <f t="shared" si="1"/>
        <v>0</v>
      </c>
      <c r="F45" s="17"/>
      <c r="G45" s="18">
        <f t="shared" si="2"/>
        <v>0</v>
      </c>
    </row>
    <row r="46" ht="15.75" customHeight="1">
      <c r="A46" s="14"/>
      <c r="B46" s="15"/>
      <c r="C46" s="16"/>
      <c r="D46" s="17"/>
      <c r="E46" s="18">
        <f t="shared" si="1"/>
        <v>0</v>
      </c>
      <c r="F46" s="17"/>
      <c r="G46" s="18">
        <f t="shared" si="2"/>
        <v>0</v>
      </c>
    </row>
    <row r="47" ht="15.75" customHeight="1">
      <c r="A47" s="14"/>
      <c r="B47" s="15"/>
      <c r="C47" s="16"/>
      <c r="D47" s="17"/>
      <c r="E47" s="18">
        <f t="shared" si="1"/>
        <v>0</v>
      </c>
      <c r="F47" s="17"/>
      <c r="G47" s="18">
        <f t="shared" si="2"/>
        <v>0</v>
      </c>
    </row>
    <row r="48" ht="15.75" customHeight="1">
      <c r="A48" s="14"/>
      <c r="B48" s="15"/>
      <c r="C48" s="16"/>
      <c r="D48" s="17"/>
      <c r="E48" s="18">
        <f t="shared" si="1"/>
        <v>0</v>
      </c>
      <c r="F48" s="17"/>
      <c r="G48" s="18">
        <f t="shared" si="2"/>
        <v>0</v>
      </c>
    </row>
    <row r="49" ht="15.75" customHeight="1">
      <c r="A49" s="14"/>
      <c r="B49" s="15"/>
      <c r="C49" s="16"/>
      <c r="D49" s="17"/>
      <c r="E49" s="18">
        <f t="shared" si="1"/>
        <v>0</v>
      </c>
      <c r="F49" s="17"/>
      <c r="G49" s="18">
        <f t="shared" si="2"/>
        <v>0</v>
      </c>
    </row>
    <row r="50" ht="15.75" customHeight="1">
      <c r="A50" s="14"/>
      <c r="B50" s="15"/>
      <c r="C50" s="16"/>
      <c r="D50" s="17"/>
      <c r="E50" s="18">
        <f t="shared" si="1"/>
        <v>0</v>
      </c>
      <c r="F50" s="17"/>
      <c r="G50" s="18">
        <f t="shared" si="2"/>
        <v>0</v>
      </c>
    </row>
    <row r="51" ht="15.75" customHeight="1">
      <c r="A51" s="14"/>
      <c r="B51" s="15"/>
      <c r="C51" s="16"/>
      <c r="D51" s="17"/>
      <c r="E51" s="18">
        <f t="shared" si="1"/>
        <v>0</v>
      </c>
      <c r="F51" s="17"/>
      <c r="G51" s="18">
        <f t="shared" si="2"/>
        <v>0</v>
      </c>
    </row>
    <row r="52" ht="15.75" customHeight="1">
      <c r="A52" s="13" t="s">
        <v>56</v>
      </c>
      <c r="C52" s="16">
        <f>COUNTIF(C2:C51,"O")</f>
        <v>0</v>
      </c>
      <c r="E52" s="18">
        <f t="shared" ref="E52:G52" si="3">SUM(E2:E51)</f>
        <v>0</v>
      </c>
      <c r="F52" s="18">
        <f t="shared" si="3"/>
        <v>0</v>
      </c>
      <c r="G52" s="18">
        <f t="shared" si="3"/>
        <v>0</v>
      </c>
    </row>
    <row r="53" ht="15.75" customHeight="1">
      <c r="C53" s="16">
        <f>COUNTIF(C2:C51,"N")</f>
        <v>0</v>
      </c>
    </row>
    <row r="54" ht="15.75" customHeight="1">
      <c r="C54" s="16">
        <f>COUNTIF(C2:C51,"X")</f>
        <v>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71"/>
    <col customWidth="1" min="2" max="2" width="25.71"/>
    <col customWidth="1" min="3" max="3" width="22.71"/>
    <col customWidth="1" min="4" max="4" width="18.71"/>
    <col customWidth="1" min="5" max="7" width="22.71"/>
    <col customWidth="1" min="8" max="26" width="8.71"/>
  </cols>
  <sheetData>
    <row r="1" ht="30.0" customHeight="1">
      <c r="A1" s="13" t="s">
        <v>35</v>
      </c>
      <c r="B1" s="13" t="s">
        <v>36</v>
      </c>
      <c r="C1" s="13" t="s">
        <v>37</v>
      </c>
      <c r="D1" s="13" t="s">
        <v>38</v>
      </c>
      <c r="E1" s="13" t="s">
        <v>39</v>
      </c>
      <c r="F1" s="13" t="s">
        <v>40</v>
      </c>
      <c r="G1" s="13" t="s">
        <v>41</v>
      </c>
    </row>
    <row r="2">
      <c r="A2" s="14"/>
      <c r="B2" s="15"/>
      <c r="C2" s="16"/>
      <c r="D2" s="17"/>
      <c r="E2" s="18">
        <f t="shared" ref="E2:E51" si="1">IF(C2="O",1,IF(C2="N",0.5,0))*D2</f>
        <v>0</v>
      </c>
      <c r="F2" s="17"/>
      <c r="G2" s="18">
        <f t="shared" ref="G2:G51" si="2">IF(E2=0,0,E2-F2)</f>
        <v>0</v>
      </c>
    </row>
    <row r="3">
      <c r="A3" s="14"/>
      <c r="B3" s="15"/>
      <c r="C3" s="16"/>
      <c r="D3" s="17"/>
      <c r="E3" s="18">
        <f t="shared" si="1"/>
        <v>0</v>
      </c>
      <c r="F3" s="17"/>
      <c r="G3" s="18">
        <f t="shared" si="2"/>
        <v>0</v>
      </c>
    </row>
    <row r="4">
      <c r="A4" s="14"/>
      <c r="B4" s="15"/>
      <c r="C4" s="16"/>
      <c r="D4" s="17"/>
      <c r="E4" s="18">
        <f t="shared" si="1"/>
        <v>0</v>
      </c>
      <c r="F4" s="17"/>
      <c r="G4" s="18">
        <f t="shared" si="2"/>
        <v>0</v>
      </c>
    </row>
    <row r="5">
      <c r="A5" s="14"/>
      <c r="B5" s="15"/>
      <c r="C5" s="16"/>
      <c r="D5" s="17"/>
      <c r="E5" s="18">
        <f t="shared" si="1"/>
        <v>0</v>
      </c>
      <c r="F5" s="17"/>
      <c r="G5" s="18">
        <f t="shared" si="2"/>
        <v>0</v>
      </c>
    </row>
    <row r="6">
      <c r="A6" s="14"/>
      <c r="B6" s="15"/>
      <c r="C6" s="16"/>
      <c r="D6" s="17"/>
      <c r="E6" s="18">
        <f t="shared" si="1"/>
        <v>0</v>
      </c>
      <c r="F6" s="17"/>
      <c r="G6" s="18">
        <f t="shared" si="2"/>
        <v>0</v>
      </c>
    </row>
    <row r="7">
      <c r="A7" s="14"/>
      <c r="B7" s="15"/>
      <c r="C7" s="16"/>
      <c r="D7" s="17"/>
      <c r="E7" s="18">
        <f t="shared" si="1"/>
        <v>0</v>
      </c>
      <c r="F7" s="17"/>
      <c r="G7" s="18">
        <f t="shared" si="2"/>
        <v>0</v>
      </c>
    </row>
    <row r="8">
      <c r="A8" s="14"/>
      <c r="B8" s="15"/>
      <c r="C8" s="16"/>
      <c r="D8" s="17"/>
      <c r="E8" s="18">
        <f t="shared" si="1"/>
        <v>0</v>
      </c>
      <c r="F8" s="17"/>
      <c r="G8" s="18">
        <f t="shared" si="2"/>
        <v>0</v>
      </c>
    </row>
    <row r="9">
      <c r="A9" s="14"/>
      <c r="B9" s="15"/>
      <c r="C9" s="16"/>
      <c r="D9" s="17"/>
      <c r="E9" s="18">
        <f t="shared" si="1"/>
        <v>0</v>
      </c>
      <c r="F9" s="17"/>
      <c r="G9" s="18">
        <f t="shared" si="2"/>
        <v>0</v>
      </c>
    </row>
    <row r="10">
      <c r="A10" s="14"/>
      <c r="B10" s="15"/>
      <c r="C10" s="16"/>
      <c r="D10" s="17"/>
      <c r="E10" s="18">
        <f t="shared" si="1"/>
        <v>0</v>
      </c>
      <c r="F10" s="17"/>
      <c r="G10" s="18">
        <f t="shared" si="2"/>
        <v>0</v>
      </c>
    </row>
    <row r="11">
      <c r="A11" s="14"/>
      <c r="B11" s="15"/>
      <c r="C11" s="16"/>
      <c r="D11" s="17"/>
      <c r="E11" s="18">
        <f t="shared" si="1"/>
        <v>0</v>
      </c>
      <c r="F11" s="17"/>
      <c r="G11" s="18">
        <f t="shared" si="2"/>
        <v>0</v>
      </c>
    </row>
    <row r="12">
      <c r="A12" s="14"/>
      <c r="B12" s="15"/>
      <c r="C12" s="16"/>
      <c r="D12" s="17"/>
      <c r="E12" s="18">
        <f t="shared" si="1"/>
        <v>0</v>
      </c>
      <c r="F12" s="17"/>
      <c r="G12" s="18">
        <f t="shared" si="2"/>
        <v>0</v>
      </c>
    </row>
    <row r="13">
      <c r="A13" s="14"/>
      <c r="B13" s="15"/>
      <c r="C13" s="16"/>
      <c r="D13" s="17"/>
      <c r="E13" s="18">
        <f t="shared" si="1"/>
        <v>0</v>
      </c>
      <c r="F13" s="17"/>
      <c r="G13" s="18">
        <f t="shared" si="2"/>
        <v>0</v>
      </c>
    </row>
    <row r="14">
      <c r="A14" s="14"/>
      <c r="B14" s="15"/>
      <c r="C14" s="16"/>
      <c r="D14" s="17"/>
      <c r="E14" s="18">
        <f t="shared" si="1"/>
        <v>0</v>
      </c>
      <c r="F14" s="17"/>
      <c r="G14" s="18">
        <f t="shared" si="2"/>
        <v>0</v>
      </c>
    </row>
    <row r="15">
      <c r="A15" s="14"/>
      <c r="B15" s="15"/>
      <c r="C15" s="16"/>
      <c r="D15" s="17"/>
      <c r="E15" s="18">
        <f t="shared" si="1"/>
        <v>0</v>
      </c>
      <c r="F15" s="17"/>
      <c r="G15" s="18">
        <f t="shared" si="2"/>
        <v>0</v>
      </c>
    </row>
    <row r="16">
      <c r="A16" s="14"/>
      <c r="B16" s="15"/>
      <c r="C16" s="16"/>
      <c r="D16" s="17"/>
      <c r="E16" s="18">
        <f t="shared" si="1"/>
        <v>0</v>
      </c>
      <c r="F16" s="17"/>
      <c r="G16" s="18">
        <f t="shared" si="2"/>
        <v>0</v>
      </c>
    </row>
    <row r="17">
      <c r="A17" s="14"/>
      <c r="B17" s="15"/>
      <c r="C17" s="16"/>
      <c r="D17" s="17"/>
      <c r="E17" s="18">
        <f t="shared" si="1"/>
        <v>0</v>
      </c>
      <c r="F17" s="17"/>
      <c r="G17" s="18">
        <f t="shared" si="2"/>
        <v>0</v>
      </c>
    </row>
    <row r="18">
      <c r="A18" s="14"/>
      <c r="B18" s="15"/>
      <c r="C18" s="16"/>
      <c r="D18" s="17"/>
      <c r="E18" s="18">
        <f t="shared" si="1"/>
        <v>0</v>
      </c>
      <c r="F18" s="17"/>
      <c r="G18" s="18">
        <f t="shared" si="2"/>
        <v>0</v>
      </c>
    </row>
    <row r="19">
      <c r="A19" s="14"/>
      <c r="B19" s="15"/>
      <c r="C19" s="16"/>
      <c r="D19" s="17"/>
      <c r="E19" s="18">
        <f t="shared" si="1"/>
        <v>0</v>
      </c>
      <c r="F19" s="17"/>
      <c r="G19" s="18">
        <f t="shared" si="2"/>
        <v>0</v>
      </c>
    </row>
    <row r="20">
      <c r="A20" s="14"/>
      <c r="B20" s="15"/>
      <c r="C20" s="16"/>
      <c r="D20" s="17"/>
      <c r="E20" s="18">
        <f t="shared" si="1"/>
        <v>0</v>
      </c>
      <c r="F20" s="17"/>
      <c r="G20" s="18">
        <f t="shared" si="2"/>
        <v>0</v>
      </c>
    </row>
    <row r="21" ht="15.75" customHeight="1">
      <c r="A21" s="14"/>
      <c r="B21" s="15"/>
      <c r="C21" s="16"/>
      <c r="D21" s="17"/>
      <c r="E21" s="18">
        <f t="shared" si="1"/>
        <v>0</v>
      </c>
      <c r="F21" s="17"/>
      <c r="G21" s="18">
        <f t="shared" si="2"/>
        <v>0</v>
      </c>
    </row>
    <row r="22" ht="15.75" customHeight="1">
      <c r="A22" s="14"/>
      <c r="B22" s="15"/>
      <c r="C22" s="16"/>
      <c r="D22" s="17"/>
      <c r="E22" s="18">
        <f t="shared" si="1"/>
        <v>0</v>
      </c>
      <c r="F22" s="17"/>
      <c r="G22" s="18">
        <f t="shared" si="2"/>
        <v>0</v>
      </c>
    </row>
    <row r="23" ht="15.75" customHeight="1">
      <c r="A23" s="14"/>
      <c r="B23" s="15"/>
      <c r="C23" s="16"/>
      <c r="D23" s="17"/>
      <c r="E23" s="18">
        <f t="shared" si="1"/>
        <v>0</v>
      </c>
      <c r="F23" s="17"/>
      <c r="G23" s="18">
        <f t="shared" si="2"/>
        <v>0</v>
      </c>
    </row>
    <row r="24" ht="15.75" customHeight="1">
      <c r="A24" s="14"/>
      <c r="B24" s="15"/>
      <c r="C24" s="16"/>
      <c r="D24" s="17"/>
      <c r="E24" s="18">
        <f t="shared" si="1"/>
        <v>0</v>
      </c>
      <c r="F24" s="17"/>
      <c r="G24" s="18">
        <f t="shared" si="2"/>
        <v>0</v>
      </c>
    </row>
    <row r="25" ht="15.75" customHeight="1">
      <c r="A25" s="14"/>
      <c r="B25" s="15"/>
      <c r="C25" s="16"/>
      <c r="D25" s="17"/>
      <c r="E25" s="18">
        <f t="shared" si="1"/>
        <v>0</v>
      </c>
      <c r="F25" s="17"/>
      <c r="G25" s="18">
        <f t="shared" si="2"/>
        <v>0</v>
      </c>
    </row>
    <row r="26" ht="15.75" customHeight="1">
      <c r="A26" s="14"/>
      <c r="B26" s="15"/>
      <c r="C26" s="16"/>
      <c r="D26" s="17"/>
      <c r="E26" s="18">
        <f t="shared" si="1"/>
        <v>0</v>
      </c>
      <c r="F26" s="17"/>
      <c r="G26" s="18">
        <f t="shared" si="2"/>
        <v>0</v>
      </c>
    </row>
    <row r="27" ht="15.75" customHeight="1">
      <c r="A27" s="14"/>
      <c r="B27" s="15"/>
      <c r="C27" s="16"/>
      <c r="D27" s="17"/>
      <c r="E27" s="18">
        <f t="shared" si="1"/>
        <v>0</v>
      </c>
      <c r="F27" s="17"/>
      <c r="G27" s="18">
        <f t="shared" si="2"/>
        <v>0</v>
      </c>
    </row>
    <row r="28" ht="15.75" customHeight="1">
      <c r="A28" s="14"/>
      <c r="B28" s="15"/>
      <c r="C28" s="16"/>
      <c r="D28" s="17"/>
      <c r="E28" s="18">
        <f t="shared" si="1"/>
        <v>0</v>
      </c>
      <c r="F28" s="17"/>
      <c r="G28" s="18">
        <f t="shared" si="2"/>
        <v>0</v>
      </c>
    </row>
    <row r="29" ht="15.75" customHeight="1">
      <c r="A29" s="14"/>
      <c r="B29" s="15"/>
      <c r="C29" s="16"/>
      <c r="D29" s="17"/>
      <c r="E29" s="18">
        <f t="shared" si="1"/>
        <v>0</v>
      </c>
      <c r="F29" s="17"/>
      <c r="G29" s="18">
        <f t="shared" si="2"/>
        <v>0</v>
      </c>
    </row>
    <row r="30" ht="15.75" customHeight="1">
      <c r="A30" s="14"/>
      <c r="B30" s="15"/>
      <c r="C30" s="16"/>
      <c r="D30" s="17"/>
      <c r="E30" s="18">
        <f t="shared" si="1"/>
        <v>0</v>
      </c>
      <c r="F30" s="17"/>
      <c r="G30" s="18">
        <f t="shared" si="2"/>
        <v>0</v>
      </c>
    </row>
    <row r="31" ht="15.75" customHeight="1">
      <c r="A31" s="14"/>
      <c r="B31" s="15"/>
      <c r="C31" s="16"/>
      <c r="D31" s="17"/>
      <c r="E31" s="18">
        <f t="shared" si="1"/>
        <v>0</v>
      </c>
      <c r="F31" s="17"/>
      <c r="G31" s="18">
        <f t="shared" si="2"/>
        <v>0</v>
      </c>
    </row>
    <row r="32" ht="15.75" customHeight="1">
      <c r="A32" s="14"/>
      <c r="B32" s="15"/>
      <c r="C32" s="16"/>
      <c r="D32" s="17"/>
      <c r="E32" s="18">
        <f t="shared" si="1"/>
        <v>0</v>
      </c>
      <c r="F32" s="17"/>
      <c r="G32" s="18">
        <f t="shared" si="2"/>
        <v>0</v>
      </c>
    </row>
    <row r="33" ht="15.75" customHeight="1">
      <c r="A33" s="14"/>
      <c r="B33" s="15"/>
      <c r="C33" s="16"/>
      <c r="D33" s="17"/>
      <c r="E33" s="18">
        <f t="shared" si="1"/>
        <v>0</v>
      </c>
      <c r="F33" s="17"/>
      <c r="G33" s="18">
        <f t="shared" si="2"/>
        <v>0</v>
      </c>
    </row>
    <row r="34" ht="15.75" customHeight="1">
      <c r="A34" s="14"/>
      <c r="B34" s="15"/>
      <c r="C34" s="16"/>
      <c r="D34" s="17"/>
      <c r="E34" s="18">
        <f t="shared" si="1"/>
        <v>0</v>
      </c>
      <c r="F34" s="17"/>
      <c r="G34" s="18">
        <f t="shared" si="2"/>
        <v>0</v>
      </c>
    </row>
    <row r="35" ht="15.75" customHeight="1">
      <c r="A35" s="14"/>
      <c r="B35" s="15"/>
      <c r="C35" s="16"/>
      <c r="D35" s="17"/>
      <c r="E35" s="18">
        <f t="shared" si="1"/>
        <v>0</v>
      </c>
      <c r="F35" s="17"/>
      <c r="G35" s="18">
        <f t="shared" si="2"/>
        <v>0</v>
      </c>
    </row>
    <row r="36" ht="15.75" customHeight="1">
      <c r="A36" s="14"/>
      <c r="B36" s="15"/>
      <c r="C36" s="16"/>
      <c r="D36" s="17"/>
      <c r="E36" s="18">
        <f t="shared" si="1"/>
        <v>0</v>
      </c>
      <c r="F36" s="17"/>
      <c r="G36" s="18">
        <f t="shared" si="2"/>
        <v>0</v>
      </c>
    </row>
    <row r="37" ht="15.75" customHeight="1">
      <c r="A37" s="14"/>
      <c r="B37" s="15"/>
      <c r="C37" s="16"/>
      <c r="D37" s="17"/>
      <c r="E37" s="18">
        <f t="shared" si="1"/>
        <v>0</v>
      </c>
      <c r="F37" s="17"/>
      <c r="G37" s="18">
        <f t="shared" si="2"/>
        <v>0</v>
      </c>
    </row>
    <row r="38" ht="15.75" customHeight="1">
      <c r="A38" s="14"/>
      <c r="B38" s="15"/>
      <c r="C38" s="16"/>
      <c r="D38" s="17"/>
      <c r="E38" s="18">
        <f t="shared" si="1"/>
        <v>0</v>
      </c>
      <c r="F38" s="17"/>
      <c r="G38" s="18">
        <f t="shared" si="2"/>
        <v>0</v>
      </c>
    </row>
    <row r="39" ht="15.75" customHeight="1">
      <c r="A39" s="14"/>
      <c r="B39" s="15"/>
      <c r="C39" s="16"/>
      <c r="D39" s="17"/>
      <c r="E39" s="18">
        <f t="shared" si="1"/>
        <v>0</v>
      </c>
      <c r="F39" s="17"/>
      <c r="G39" s="18">
        <f t="shared" si="2"/>
        <v>0</v>
      </c>
    </row>
    <row r="40" ht="15.75" customHeight="1">
      <c r="A40" s="14"/>
      <c r="B40" s="15"/>
      <c r="C40" s="16"/>
      <c r="D40" s="17"/>
      <c r="E40" s="18">
        <f t="shared" si="1"/>
        <v>0</v>
      </c>
      <c r="F40" s="17"/>
      <c r="G40" s="18">
        <f t="shared" si="2"/>
        <v>0</v>
      </c>
    </row>
    <row r="41" ht="15.75" customHeight="1">
      <c r="A41" s="14"/>
      <c r="B41" s="15"/>
      <c r="C41" s="16"/>
      <c r="D41" s="17"/>
      <c r="E41" s="18">
        <f t="shared" si="1"/>
        <v>0</v>
      </c>
      <c r="F41" s="17"/>
      <c r="G41" s="18">
        <f t="shared" si="2"/>
        <v>0</v>
      </c>
    </row>
    <row r="42" ht="15.75" customHeight="1">
      <c r="A42" s="14"/>
      <c r="B42" s="15"/>
      <c r="C42" s="16"/>
      <c r="D42" s="17"/>
      <c r="E42" s="18">
        <f t="shared" si="1"/>
        <v>0</v>
      </c>
      <c r="F42" s="17"/>
      <c r="G42" s="18">
        <f t="shared" si="2"/>
        <v>0</v>
      </c>
    </row>
    <row r="43" ht="15.75" customHeight="1">
      <c r="A43" s="14"/>
      <c r="B43" s="15"/>
      <c r="C43" s="16"/>
      <c r="D43" s="17"/>
      <c r="E43" s="18">
        <f t="shared" si="1"/>
        <v>0</v>
      </c>
      <c r="F43" s="17"/>
      <c r="G43" s="18">
        <f t="shared" si="2"/>
        <v>0</v>
      </c>
    </row>
    <row r="44" ht="15.75" customHeight="1">
      <c r="A44" s="14"/>
      <c r="B44" s="15"/>
      <c r="C44" s="16"/>
      <c r="D44" s="17"/>
      <c r="E44" s="18">
        <f t="shared" si="1"/>
        <v>0</v>
      </c>
      <c r="F44" s="17"/>
      <c r="G44" s="18">
        <f t="shared" si="2"/>
        <v>0</v>
      </c>
    </row>
    <row r="45" ht="15.75" customHeight="1">
      <c r="A45" s="14"/>
      <c r="B45" s="15"/>
      <c r="C45" s="16"/>
      <c r="D45" s="17"/>
      <c r="E45" s="18">
        <f t="shared" si="1"/>
        <v>0</v>
      </c>
      <c r="F45" s="17"/>
      <c r="G45" s="18">
        <f t="shared" si="2"/>
        <v>0</v>
      </c>
    </row>
    <row r="46" ht="15.75" customHeight="1">
      <c r="A46" s="14"/>
      <c r="B46" s="15"/>
      <c r="C46" s="16"/>
      <c r="D46" s="17"/>
      <c r="E46" s="18">
        <f t="shared" si="1"/>
        <v>0</v>
      </c>
      <c r="F46" s="17"/>
      <c r="G46" s="18">
        <f t="shared" si="2"/>
        <v>0</v>
      </c>
    </row>
    <row r="47" ht="15.75" customHeight="1">
      <c r="A47" s="14"/>
      <c r="B47" s="15"/>
      <c r="C47" s="16"/>
      <c r="D47" s="17"/>
      <c r="E47" s="18">
        <f t="shared" si="1"/>
        <v>0</v>
      </c>
      <c r="F47" s="17"/>
      <c r="G47" s="18">
        <f t="shared" si="2"/>
        <v>0</v>
      </c>
    </row>
    <row r="48" ht="15.75" customHeight="1">
      <c r="A48" s="14"/>
      <c r="B48" s="15"/>
      <c r="C48" s="16"/>
      <c r="D48" s="17"/>
      <c r="E48" s="18">
        <f t="shared" si="1"/>
        <v>0</v>
      </c>
      <c r="F48" s="17"/>
      <c r="G48" s="18">
        <f t="shared" si="2"/>
        <v>0</v>
      </c>
    </row>
    <row r="49" ht="15.75" customHeight="1">
      <c r="A49" s="14"/>
      <c r="B49" s="15"/>
      <c r="C49" s="16"/>
      <c r="D49" s="17"/>
      <c r="E49" s="18">
        <f t="shared" si="1"/>
        <v>0</v>
      </c>
      <c r="F49" s="17"/>
      <c r="G49" s="18">
        <f t="shared" si="2"/>
        <v>0</v>
      </c>
    </row>
    <row r="50" ht="15.75" customHeight="1">
      <c r="A50" s="14"/>
      <c r="B50" s="15"/>
      <c r="C50" s="16"/>
      <c r="D50" s="17"/>
      <c r="E50" s="18">
        <f t="shared" si="1"/>
        <v>0</v>
      </c>
      <c r="F50" s="17"/>
      <c r="G50" s="18">
        <f t="shared" si="2"/>
        <v>0</v>
      </c>
    </row>
    <row r="51" ht="15.75" customHeight="1">
      <c r="A51" s="14"/>
      <c r="B51" s="15"/>
      <c r="C51" s="16"/>
      <c r="D51" s="17"/>
      <c r="E51" s="18">
        <f t="shared" si="1"/>
        <v>0</v>
      </c>
      <c r="F51" s="17"/>
      <c r="G51" s="18">
        <f t="shared" si="2"/>
        <v>0</v>
      </c>
    </row>
    <row r="52" ht="15.75" customHeight="1">
      <c r="A52" s="13" t="s">
        <v>57</v>
      </c>
      <c r="C52" s="16">
        <f>COUNTIF(C2:C51,"O")</f>
        <v>0</v>
      </c>
      <c r="E52" s="18">
        <f t="shared" ref="E52:G52" si="3">SUM(E2:E51)</f>
        <v>0</v>
      </c>
      <c r="F52" s="18">
        <f t="shared" si="3"/>
        <v>0</v>
      </c>
      <c r="G52" s="18">
        <f t="shared" si="3"/>
        <v>0</v>
      </c>
    </row>
    <row r="53" ht="15.75" customHeight="1">
      <c r="C53" s="16">
        <f>COUNTIF(C2:C51,"N")</f>
        <v>0</v>
      </c>
    </row>
    <row r="54" ht="15.75" customHeight="1">
      <c r="C54" s="16">
        <f>COUNTIF(C2:C51,"X")</f>
        <v>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71"/>
    <col customWidth="1" min="2" max="2" width="25.71"/>
    <col customWidth="1" min="3" max="3" width="22.71"/>
    <col customWidth="1" min="4" max="4" width="18.71"/>
    <col customWidth="1" min="5" max="7" width="22.71"/>
    <col customWidth="1" min="8" max="26" width="8.71"/>
  </cols>
  <sheetData>
    <row r="1" ht="30.0" customHeight="1">
      <c r="A1" s="13" t="s">
        <v>35</v>
      </c>
      <c r="B1" s="13" t="s">
        <v>36</v>
      </c>
      <c r="C1" s="13" t="s">
        <v>37</v>
      </c>
      <c r="D1" s="13" t="s">
        <v>38</v>
      </c>
      <c r="E1" s="13" t="s">
        <v>39</v>
      </c>
      <c r="F1" s="13" t="s">
        <v>40</v>
      </c>
      <c r="G1" s="13" t="s">
        <v>41</v>
      </c>
    </row>
    <row r="2">
      <c r="A2" s="14"/>
      <c r="B2" s="15"/>
      <c r="C2" s="16"/>
      <c r="D2" s="17"/>
      <c r="E2" s="18">
        <f t="shared" ref="E2:E51" si="1">IF(C2="O",1,IF(C2="N",0.5,0))*D2</f>
        <v>0</v>
      </c>
      <c r="F2" s="17"/>
      <c r="G2" s="18">
        <f t="shared" ref="G2:G51" si="2">IF(E2=0,0,E2-F2)</f>
        <v>0</v>
      </c>
    </row>
    <row r="3">
      <c r="A3" s="14"/>
      <c r="B3" s="15"/>
      <c r="C3" s="16"/>
      <c r="D3" s="17"/>
      <c r="E3" s="18">
        <f t="shared" si="1"/>
        <v>0</v>
      </c>
      <c r="F3" s="17"/>
      <c r="G3" s="18">
        <f t="shared" si="2"/>
        <v>0</v>
      </c>
    </row>
    <row r="4">
      <c r="A4" s="14"/>
      <c r="B4" s="15"/>
      <c r="C4" s="16"/>
      <c r="D4" s="17"/>
      <c r="E4" s="18">
        <f t="shared" si="1"/>
        <v>0</v>
      </c>
      <c r="F4" s="17"/>
      <c r="G4" s="18">
        <f t="shared" si="2"/>
        <v>0</v>
      </c>
    </row>
    <row r="5">
      <c r="A5" s="14"/>
      <c r="B5" s="15"/>
      <c r="C5" s="16"/>
      <c r="D5" s="17"/>
      <c r="E5" s="18">
        <f t="shared" si="1"/>
        <v>0</v>
      </c>
      <c r="F5" s="17"/>
      <c r="G5" s="18">
        <f t="shared" si="2"/>
        <v>0</v>
      </c>
    </row>
    <row r="6">
      <c r="A6" s="14"/>
      <c r="B6" s="15"/>
      <c r="C6" s="16"/>
      <c r="D6" s="17"/>
      <c r="E6" s="18">
        <f t="shared" si="1"/>
        <v>0</v>
      </c>
      <c r="F6" s="17"/>
      <c r="G6" s="18">
        <f t="shared" si="2"/>
        <v>0</v>
      </c>
    </row>
    <row r="7">
      <c r="A7" s="14"/>
      <c r="B7" s="15"/>
      <c r="C7" s="16"/>
      <c r="D7" s="17"/>
      <c r="E7" s="18">
        <f t="shared" si="1"/>
        <v>0</v>
      </c>
      <c r="F7" s="17"/>
      <c r="G7" s="18">
        <f t="shared" si="2"/>
        <v>0</v>
      </c>
    </row>
    <row r="8">
      <c r="A8" s="14"/>
      <c r="B8" s="15"/>
      <c r="C8" s="16"/>
      <c r="D8" s="17"/>
      <c r="E8" s="18">
        <f t="shared" si="1"/>
        <v>0</v>
      </c>
      <c r="F8" s="17"/>
      <c r="G8" s="18">
        <f t="shared" si="2"/>
        <v>0</v>
      </c>
    </row>
    <row r="9">
      <c r="A9" s="14"/>
      <c r="B9" s="15"/>
      <c r="C9" s="16"/>
      <c r="D9" s="17"/>
      <c r="E9" s="18">
        <f t="shared" si="1"/>
        <v>0</v>
      </c>
      <c r="F9" s="17"/>
      <c r="G9" s="18">
        <f t="shared" si="2"/>
        <v>0</v>
      </c>
    </row>
    <row r="10">
      <c r="A10" s="14"/>
      <c r="B10" s="15"/>
      <c r="C10" s="16"/>
      <c r="D10" s="17"/>
      <c r="E10" s="18">
        <f t="shared" si="1"/>
        <v>0</v>
      </c>
      <c r="F10" s="17"/>
      <c r="G10" s="18">
        <f t="shared" si="2"/>
        <v>0</v>
      </c>
    </row>
    <row r="11">
      <c r="A11" s="14"/>
      <c r="B11" s="15"/>
      <c r="C11" s="16"/>
      <c r="D11" s="17"/>
      <c r="E11" s="18">
        <f t="shared" si="1"/>
        <v>0</v>
      </c>
      <c r="F11" s="17"/>
      <c r="G11" s="18">
        <f t="shared" si="2"/>
        <v>0</v>
      </c>
    </row>
    <row r="12">
      <c r="A12" s="14"/>
      <c r="B12" s="15"/>
      <c r="C12" s="16"/>
      <c r="D12" s="17"/>
      <c r="E12" s="18">
        <f t="shared" si="1"/>
        <v>0</v>
      </c>
      <c r="F12" s="17"/>
      <c r="G12" s="18">
        <f t="shared" si="2"/>
        <v>0</v>
      </c>
    </row>
    <row r="13">
      <c r="A13" s="14"/>
      <c r="B13" s="15"/>
      <c r="C13" s="16"/>
      <c r="D13" s="17"/>
      <c r="E13" s="18">
        <f t="shared" si="1"/>
        <v>0</v>
      </c>
      <c r="F13" s="17"/>
      <c r="G13" s="18">
        <f t="shared" si="2"/>
        <v>0</v>
      </c>
    </row>
    <row r="14">
      <c r="A14" s="14"/>
      <c r="B14" s="15"/>
      <c r="C14" s="16"/>
      <c r="D14" s="17"/>
      <c r="E14" s="18">
        <f t="shared" si="1"/>
        <v>0</v>
      </c>
      <c r="F14" s="17"/>
      <c r="G14" s="18">
        <f t="shared" si="2"/>
        <v>0</v>
      </c>
    </row>
    <row r="15">
      <c r="A15" s="14"/>
      <c r="B15" s="15"/>
      <c r="C15" s="16"/>
      <c r="D15" s="17"/>
      <c r="E15" s="18">
        <f t="shared" si="1"/>
        <v>0</v>
      </c>
      <c r="F15" s="17"/>
      <c r="G15" s="18">
        <f t="shared" si="2"/>
        <v>0</v>
      </c>
    </row>
    <row r="16">
      <c r="A16" s="14"/>
      <c r="B16" s="15"/>
      <c r="C16" s="16"/>
      <c r="D16" s="17"/>
      <c r="E16" s="18">
        <f t="shared" si="1"/>
        <v>0</v>
      </c>
      <c r="F16" s="17"/>
      <c r="G16" s="18">
        <f t="shared" si="2"/>
        <v>0</v>
      </c>
    </row>
    <row r="17">
      <c r="A17" s="14"/>
      <c r="B17" s="15"/>
      <c r="C17" s="16"/>
      <c r="D17" s="17"/>
      <c r="E17" s="18">
        <f t="shared" si="1"/>
        <v>0</v>
      </c>
      <c r="F17" s="17"/>
      <c r="G17" s="18">
        <f t="shared" si="2"/>
        <v>0</v>
      </c>
    </row>
    <row r="18">
      <c r="A18" s="14"/>
      <c r="B18" s="15"/>
      <c r="C18" s="16"/>
      <c r="D18" s="17"/>
      <c r="E18" s="18">
        <f t="shared" si="1"/>
        <v>0</v>
      </c>
      <c r="F18" s="17"/>
      <c r="G18" s="18">
        <f t="shared" si="2"/>
        <v>0</v>
      </c>
    </row>
    <row r="19">
      <c r="A19" s="14"/>
      <c r="B19" s="15"/>
      <c r="C19" s="16"/>
      <c r="D19" s="17"/>
      <c r="E19" s="18">
        <f t="shared" si="1"/>
        <v>0</v>
      </c>
      <c r="F19" s="17"/>
      <c r="G19" s="18">
        <f t="shared" si="2"/>
        <v>0</v>
      </c>
    </row>
    <row r="20">
      <c r="A20" s="14"/>
      <c r="B20" s="15"/>
      <c r="C20" s="16"/>
      <c r="D20" s="17"/>
      <c r="E20" s="18">
        <f t="shared" si="1"/>
        <v>0</v>
      </c>
      <c r="F20" s="17"/>
      <c r="G20" s="18">
        <f t="shared" si="2"/>
        <v>0</v>
      </c>
    </row>
    <row r="21" ht="15.75" customHeight="1">
      <c r="A21" s="14"/>
      <c r="B21" s="15"/>
      <c r="C21" s="16"/>
      <c r="D21" s="17"/>
      <c r="E21" s="18">
        <f t="shared" si="1"/>
        <v>0</v>
      </c>
      <c r="F21" s="17"/>
      <c r="G21" s="18">
        <f t="shared" si="2"/>
        <v>0</v>
      </c>
    </row>
    <row r="22" ht="15.75" customHeight="1">
      <c r="A22" s="14"/>
      <c r="B22" s="15"/>
      <c r="C22" s="16"/>
      <c r="D22" s="17"/>
      <c r="E22" s="18">
        <f t="shared" si="1"/>
        <v>0</v>
      </c>
      <c r="F22" s="17"/>
      <c r="G22" s="18">
        <f t="shared" si="2"/>
        <v>0</v>
      </c>
    </row>
    <row r="23" ht="15.75" customHeight="1">
      <c r="A23" s="14"/>
      <c r="B23" s="15"/>
      <c r="C23" s="16"/>
      <c r="D23" s="17"/>
      <c r="E23" s="18">
        <f t="shared" si="1"/>
        <v>0</v>
      </c>
      <c r="F23" s="17"/>
      <c r="G23" s="18">
        <f t="shared" si="2"/>
        <v>0</v>
      </c>
    </row>
    <row r="24" ht="15.75" customHeight="1">
      <c r="A24" s="14"/>
      <c r="B24" s="15"/>
      <c r="C24" s="16"/>
      <c r="D24" s="17"/>
      <c r="E24" s="18">
        <f t="shared" si="1"/>
        <v>0</v>
      </c>
      <c r="F24" s="17"/>
      <c r="G24" s="18">
        <f t="shared" si="2"/>
        <v>0</v>
      </c>
    </row>
    <row r="25" ht="15.75" customHeight="1">
      <c r="A25" s="14"/>
      <c r="B25" s="15"/>
      <c r="C25" s="16"/>
      <c r="D25" s="17"/>
      <c r="E25" s="18">
        <f t="shared" si="1"/>
        <v>0</v>
      </c>
      <c r="F25" s="17"/>
      <c r="G25" s="18">
        <f t="shared" si="2"/>
        <v>0</v>
      </c>
    </row>
    <row r="26" ht="15.75" customHeight="1">
      <c r="A26" s="14"/>
      <c r="B26" s="15"/>
      <c r="C26" s="16"/>
      <c r="D26" s="17"/>
      <c r="E26" s="18">
        <f t="shared" si="1"/>
        <v>0</v>
      </c>
      <c r="F26" s="17"/>
      <c r="G26" s="18">
        <f t="shared" si="2"/>
        <v>0</v>
      </c>
    </row>
    <row r="27" ht="15.75" customHeight="1">
      <c r="A27" s="14"/>
      <c r="B27" s="15"/>
      <c r="C27" s="16"/>
      <c r="D27" s="17"/>
      <c r="E27" s="18">
        <f t="shared" si="1"/>
        <v>0</v>
      </c>
      <c r="F27" s="17"/>
      <c r="G27" s="18">
        <f t="shared" si="2"/>
        <v>0</v>
      </c>
    </row>
    <row r="28" ht="15.75" customHeight="1">
      <c r="A28" s="14"/>
      <c r="B28" s="15"/>
      <c r="C28" s="16"/>
      <c r="D28" s="17"/>
      <c r="E28" s="18">
        <f t="shared" si="1"/>
        <v>0</v>
      </c>
      <c r="F28" s="17"/>
      <c r="G28" s="18">
        <f t="shared" si="2"/>
        <v>0</v>
      </c>
    </row>
    <row r="29" ht="15.75" customHeight="1">
      <c r="A29" s="14"/>
      <c r="B29" s="15"/>
      <c r="C29" s="16"/>
      <c r="D29" s="17"/>
      <c r="E29" s="18">
        <f t="shared" si="1"/>
        <v>0</v>
      </c>
      <c r="F29" s="17"/>
      <c r="G29" s="18">
        <f t="shared" si="2"/>
        <v>0</v>
      </c>
    </row>
    <row r="30" ht="15.75" customHeight="1">
      <c r="A30" s="14"/>
      <c r="B30" s="15"/>
      <c r="C30" s="16"/>
      <c r="D30" s="17"/>
      <c r="E30" s="18">
        <f t="shared" si="1"/>
        <v>0</v>
      </c>
      <c r="F30" s="17"/>
      <c r="G30" s="18">
        <f t="shared" si="2"/>
        <v>0</v>
      </c>
    </row>
    <row r="31" ht="15.75" customHeight="1">
      <c r="A31" s="14"/>
      <c r="B31" s="15"/>
      <c r="C31" s="16"/>
      <c r="D31" s="17"/>
      <c r="E31" s="18">
        <f t="shared" si="1"/>
        <v>0</v>
      </c>
      <c r="F31" s="17"/>
      <c r="G31" s="18">
        <f t="shared" si="2"/>
        <v>0</v>
      </c>
    </row>
    <row r="32" ht="15.75" customHeight="1">
      <c r="A32" s="14"/>
      <c r="B32" s="15"/>
      <c r="C32" s="16"/>
      <c r="D32" s="17"/>
      <c r="E32" s="18">
        <f t="shared" si="1"/>
        <v>0</v>
      </c>
      <c r="F32" s="17"/>
      <c r="G32" s="18">
        <f t="shared" si="2"/>
        <v>0</v>
      </c>
    </row>
    <row r="33" ht="15.75" customHeight="1">
      <c r="A33" s="14"/>
      <c r="B33" s="15"/>
      <c r="C33" s="16"/>
      <c r="D33" s="17"/>
      <c r="E33" s="18">
        <f t="shared" si="1"/>
        <v>0</v>
      </c>
      <c r="F33" s="17"/>
      <c r="G33" s="18">
        <f t="shared" si="2"/>
        <v>0</v>
      </c>
    </row>
    <row r="34" ht="15.75" customHeight="1">
      <c r="A34" s="14"/>
      <c r="B34" s="15"/>
      <c r="C34" s="16"/>
      <c r="D34" s="17"/>
      <c r="E34" s="18">
        <f t="shared" si="1"/>
        <v>0</v>
      </c>
      <c r="F34" s="17"/>
      <c r="G34" s="18">
        <f t="shared" si="2"/>
        <v>0</v>
      </c>
    </row>
    <row r="35" ht="15.75" customHeight="1">
      <c r="A35" s="14"/>
      <c r="B35" s="15"/>
      <c r="C35" s="16"/>
      <c r="D35" s="17"/>
      <c r="E35" s="18">
        <f t="shared" si="1"/>
        <v>0</v>
      </c>
      <c r="F35" s="17"/>
      <c r="G35" s="18">
        <f t="shared" si="2"/>
        <v>0</v>
      </c>
    </row>
    <row r="36" ht="15.75" customHeight="1">
      <c r="A36" s="14"/>
      <c r="B36" s="15"/>
      <c r="C36" s="16"/>
      <c r="D36" s="17"/>
      <c r="E36" s="18">
        <f t="shared" si="1"/>
        <v>0</v>
      </c>
      <c r="F36" s="17"/>
      <c r="G36" s="18">
        <f t="shared" si="2"/>
        <v>0</v>
      </c>
    </row>
    <row r="37" ht="15.75" customHeight="1">
      <c r="A37" s="14"/>
      <c r="B37" s="15"/>
      <c r="C37" s="16"/>
      <c r="D37" s="17"/>
      <c r="E37" s="18">
        <f t="shared" si="1"/>
        <v>0</v>
      </c>
      <c r="F37" s="17"/>
      <c r="G37" s="18">
        <f t="shared" si="2"/>
        <v>0</v>
      </c>
    </row>
    <row r="38" ht="15.75" customHeight="1">
      <c r="A38" s="14"/>
      <c r="B38" s="15"/>
      <c r="C38" s="16"/>
      <c r="D38" s="17"/>
      <c r="E38" s="18">
        <f t="shared" si="1"/>
        <v>0</v>
      </c>
      <c r="F38" s="17"/>
      <c r="G38" s="18">
        <f t="shared" si="2"/>
        <v>0</v>
      </c>
    </row>
    <row r="39" ht="15.75" customHeight="1">
      <c r="A39" s="14"/>
      <c r="B39" s="15"/>
      <c r="C39" s="16"/>
      <c r="D39" s="17"/>
      <c r="E39" s="18">
        <f t="shared" si="1"/>
        <v>0</v>
      </c>
      <c r="F39" s="17"/>
      <c r="G39" s="18">
        <f t="shared" si="2"/>
        <v>0</v>
      </c>
    </row>
    <row r="40" ht="15.75" customHeight="1">
      <c r="A40" s="14"/>
      <c r="B40" s="15"/>
      <c r="C40" s="16"/>
      <c r="D40" s="17"/>
      <c r="E40" s="18">
        <f t="shared" si="1"/>
        <v>0</v>
      </c>
      <c r="F40" s="17"/>
      <c r="G40" s="18">
        <f t="shared" si="2"/>
        <v>0</v>
      </c>
    </row>
    <row r="41" ht="15.75" customHeight="1">
      <c r="A41" s="14"/>
      <c r="B41" s="15"/>
      <c r="C41" s="16"/>
      <c r="D41" s="17"/>
      <c r="E41" s="18">
        <f t="shared" si="1"/>
        <v>0</v>
      </c>
      <c r="F41" s="17"/>
      <c r="G41" s="18">
        <f t="shared" si="2"/>
        <v>0</v>
      </c>
    </row>
    <row r="42" ht="15.75" customHeight="1">
      <c r="A42" s="14"/>
      <c r="B42" s="15"/>
      <c r="C42" s="16"/>
      <c r="D42" s="17"/>
      <c r="E42" s="18">
        <f t="shared" si="1"/>
        <v>0</v>
      </c>
      <c r="F42" s="17"/>
      <c r="G42" s="18">
        <f t="shared" si="2"/>
        <v>0</v>
      </c>
    </row>
    <row r="43" ht="15.75" customHeight="1">
      <c r="A43" s="14"/>
      <c r="B43" s="15"/>
      <c r="C43" s="16"/>
      <c r="D43" s="17"/>
      <c r="E43" s="18">
        <f t="shared" si="1"/>
        <v>0</v>
      </c>
      <c r="F43" s="17"/>
      <c r="G43" s="18">
        <f t="shared" si="2"/>
        <v>0</v>
      </c>
    </row>
    <row r="44" ht="15.75" customHeight="1">
      <c r="A44" s="14"/>
      <c r="B44" s="15"/>
      <c r="C44" s="16"/>
      <c r="D44" s="17"/>
      <c r="E44" s="18">
        <f t="shared" si="1"/>
        <v>0</v>
      </c>
      <c r="F44" s="17"/>
      <c r="G44" s="18">
        <f t="shared" si="2"/>
        <v>0</v>
      </c>
    </row>
    <row r="45" ht="15.75" customHeight="1">
      <c r="A45" s="14"/>
      <c r="B45" s="15"/>
      <c r="C45" s="16"/>
      <c r="D45" s="17"/>
      <c r="E45" s="18">
        <f t="shared" si="1"/>
        <v>0</v>
      </c>
      <c r="F45" s="17"/>
      <c r="G45" s="18">
        <f t="shared" si="2"/>
        <v>0</v>
      </c>
    </row>
    <row r="46" ht="15.75" customHeight="1">
      <c r="A46" s="14"/>
      <c r="B46" s="15"/>
      <c r="C46" s="16"/>
      <c r="D46" s="17"/>
      <c r="E46" s="18">
        <f t="shared" si="1"/>
        <v>0</v>
      </c>
      <c r="F46" s="17"/>
      <c r="G46" s="18">
        <f t="shared" si="2"/>
        <v>0</v>
      </c>
    </row>
    <row r="47" ht="15.75" customHeight="1">
      <c r="A47" s="14"/>
      <c r="B47" s="15"/>
      <c r="C47" s="16"/>
      <c r="D47" s="17"/>
      <c r="E47" s="18">
        <f t="shared" si="1"/>
        <v>0</v>
      </c>
      <c r="F47" s="17"/>
      <c r="G47" s="18">
        <f t="shared" si="2"/>
        <v>0</v>
      </c>
    </row>
    <row r="48" ht="15.75" customHeight="1">
      <c r="A48" s="14"/>
      <c r="B48" s="15"/>
      <c r="C48" s="16"/>
      <c r="D48" s="17"/>
      <c r="E48" s="18">
        <f t="shared" si="1"/>
        <v>0</v>
      </c>
      <c r="F48" s="17"/>
      <c r="G48" s="18">
        <f t="shared" si="2"/>
        <v>0</v>
      </c>
    </row>
    <row r="49" ht="15.75" customHeight="1">
      <c r="A49" s="14"/>
      <c r="B49" s="15"/>
      <c r="C49" s="16"/>
      <c r="D49" s="17"/>
      <c r="E49" s="18">
        <f t="shared" si="1"/>
        <v>0</v>
      </c>
      <c r="F49" s="17"/>
      <c r="G49" s="18">
        <f t="shared" si="2"/>
        <v>0</v>
      </c>
    </row>
    <row r="50" ht="15.75" customHeight="1">
      <c r="A50" s="14"/>
      <c r="B50" s="15"/>
      <c r="C50" s="16"/>
      <c r="D50" s="17"/>
      <c r="E50" s="18">
        <f t="shared" si="1"/>
        <v>0</v>
      </c>
      <c r="F50" s="17"/>
      <c r="G50" s="18">
        <f t="shared" si="2"/>
        <v>0</v>
      </c>
    </row>
    <row r="51" ht="15.75" customHeight="1">
      <c r="A51" s="14"/>
      <c r="B51" s="15"/>
      <c r="C51" s="16"/>
      <c r="D51" s="17"/>
      <c r="E51" s="18">
        <f t="shared" si="1"/>
        <v>0</v>
      </c>
      <c r="F51" s="17"/>
      <c r="G51" s="18">
        <f t="shared" si="2"/>
        <v>0</v>
      </c>
    </row>
    <row r="52" ht="15.75" customHeight="1">
      <c r="A52" s="13" t="s">
        <v>58</v>
      </c>
      <c r="C52" s="16">
        <f>COUNTIF(C2:C51,"O")</f>
        <v>0</v>
      </c>
      <c r="E52" s="18">
        <f t="shared" ref="E52:G52" si="3">SUM(E2:E51)</f>
        <v>0</v>
      </c>
      <c r="F52" s="18">
        <f t="shared" si="3"/>
        <v>0</v>
      </c>
      <c r="G52" s="18">
        <f t="shared" si="3"/>
        <v>0</v>
      </c>
    </row>
    <row r="53" ht="15.75" customHeight="1">
      <c r="C53" s="16">
        <f>COUNTIF(C2:C51,"N")</f>
        <v>0</v>
      </c>
    </row>
    <row r="54" ht="15.75" customHeight="1">
      <c r="C54" s="16">
        <f>COUNTIF(C2:C51,"X")</f>
        <v>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2026-04-11T12:16:58Z</dcterms:created>
</cp:coreProperties>
</file>